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omments5.xml" ContentType="application/vnd.openxmlformats-officedocument.spreadsheetml.comments+xml"/>
  <Override PartName="/xl/comments50.xml" ContentType="application/vnd.openxmlformats-officedocument.spreadsheetml.comments+xml"/>
  <Override PartName="/xl/comments51.xml" ContentType="application/vnd.openxmlformats-officedocument.spreadsheetml.comments+xml"/>
  <Override PartName="/xl/comments52.xml" ContentType="application/vnd.openxmlformats-officedocument.spreadsheetml.comments+xml"/>
  <Override PartName="/xl/comments53.xml" ContentType="application/vnd.openxmlformats-officedocument.spreadsheetml.comments+xml"/>
  <Override PartName="/xl/comments54.xml" ContentType="application/vnd.openxmlformats-officedocument.spreadsheetml.comments+xml"/>
  <Override PartName="/xl/comments55.xml" ContentType="application/vnd.openxmlformats-officedocument.spreadsheetml.comments+xml"/>
  <Override PartName="/xl/comments56.xml" ContentType="application/vnd.openxmlformats-officedocument.spreadsheetml.comments+xml"/>
  <Override PartName="/xl/comments57.xml" ContentType="application/vnd.openxmlformats-officedocument.spreadsheetml.comments+xml"/>
  <Override PartName="/xl/comments58.xml" ContentType="application/vnd.openxmlformats-officedocument.spreadsheetml.comments+xml"/>
  <Override PartName="/xl/comments59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5" Type="http://schemas.microsoft.com/office/2006/relationships/ui/userCustomization" Target="userCustomization/customUI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280" windowHeight="9930" tabRatio="707" firstSheet="47" activeTab="50"/>
  </bookViews>
  <sheets>
    <sheet name="字段属性" sheetId="1" r:id="rId1"/>
    <sheet name="常量" sheetId="2" r:id="rId2"/>
    <sheet name="建表模板" sheetId="3" state="hidden" r:id="rId3"/>
    <sheet name="部门" sheetId="4" state="hidden" r:id="rId4"/>
    <sheet name="科室" sheetId="5" state="hidden" r:id="rId5"/>
    <sheet name="系别" sheetId="6" state="hidden" r:id="rId6"/>
    <sheet name="员工" sheetId="7" state="hidden" r:id="rId7"/>
    <sheet name="账号" sheetId="8" state="hidden" r:id="rId8"/>
    <sheet name="车型系列（废）" sheetId="9" state="hidden" r:id="rId9"/>
    <sheet name="WARP发起部品废止信息（废）" sheetId="10" state="hidden" r:id="rId10"/>
    <sheet name="WARP已同步部品本地废止信息表（废）" sheetId="11" state="hidden" r:id="rId11"/>
    <sheet name="自支给变更（废）" sheetId="12" state="hidden" r:id="rId12"/>
    <sheet name="自支给变更合意详情表（废）" sheetId="13" state="hidden" r:id="rId13"/>
    <sheet name="生准LT（废）" sheetId="14" state="hidden" r:id="rId14"/>
    <sheet name="目录" sheetId="65" r:id="rId15"/>
    <sheet name="角色表" sheetId="16" r:id="rId16"/>
    <sheet name="建表模板 (3)" sheetId="17" state="hidden" r:id="rId17"/>
    <sheet name="权限表" sheetId="18" r:id="rId18"/>
    <sheet name="角色权限表" sheetId="19" r:id="rId19"/>
    <sheet name="管理员角色表" sheetId="20" r:id="rId20"/>
    <sheet name="管理员信息表" sheetId="21" r:id="rId21"/>
    <sheet name="菜单表" sheetId="22" r:id="rId22"/>
    <sheet name="建表模板 (4)" sheetId="23" state="hidden" r:id="rId23"/>
    <sheet name="车位锁信息表" sheetId="24" r:id="rId24"/>
    <sheet name="车位锁数据上报日志" sheetId="61" r:id="rId25"/>
    <sheet name="地磁信息表" sheetId="25" r:id="rId26"/>
    <sheet name="地磁数据上报日志表" sheetId="60" r:id="rId27"/>
    <sheet name="网关信息表" sheetId="26" r:id="rId28"/>
    <sheet name="停车场信息表" sheetId="27" r:id="rId29"/>
    <sheet name="停车场区域表" sheetId="28" r:id="rId30"/>
    <sheet name="停车场室内地图信息表" sheetId="63" r:id="rId31"/>
    <sheet name="车位信息表" sheetId="29" r:id="rId32"/>
    <sheet name="车位管理员关联表" sheetId="30" r:id="rId33"/>
    <sheet name="车位锁日志记录表" sheetId="31" r:id="rId34"/>
    <sheet name="固定车辆信息表" sheetId="32" r:id="rId35"/>
    <sheet name="固定车辆缴费记录表" sheetId="33" r:id="rId36"/>
    <sheet name="收费规则表" sheetId="55" r:id="rId37"/>
    <sheet name="停车场收费规则表" sheetId="34" r:id="rId38"/>
    <sheet name="包期规则表" sheetId="35" r:id="rId39"/>
    <sheet name="建表模板 (5)" sheetId="36" state="hidden" r:id="rId40"/>
    <sheet name="充值活动信息表" sheetId="37" r:id="rId41"/>
    <sheet name="充值记录表" sheetId="38" r:id="rId42"/>
    <sheet name="发票记录表" sheetId="39" r:id="rId43"/>
    <sheet name="开票规则表" sheetId="40" r:id="rId44"/>
    <sheet name="布控车辆信息表" sheetId="41" r:id="rId45"/>
    <sheet name="用户表" sheetId="42" r:id="rId46"/>
    <sheet name="本地登录表" sheetId="43" r:id="rId47"/>
    <sheet name="用户微信表" sheetId="44" r:id="rId48"/>
    <sheet name="用户车辆列表" sheetId="45" r:id="rId49"/>
    <sheet name="预约记录表" sheetId="46" r:id="rId50"/>
    <sheet name="场内车辆记录表" sheetId="47" r:id="rId51"/>
    <sheet name="过车记录表" sheetId="48" r:id="rId52"/>
    <sheet name="订单信息表" sheetId="49" r:id="rId53"/>
    <sheet name="用户消息记录表" sheetId="58" r:id="rId54"/>
    <sheet name="推送消息记录表" sheetId="51" r:id="rId55"/>
    <sheet name="警告消息记录表" sheetId="52" r:id="rId56"/>
    <sheet name="反馈记录表" sheetId="53" r:id="rId57"/>
    <sheet name="操作日志表" sheetId="54" r:id="rId58"/>
    <sheet name="系统参数配置表 " sheetId="56" r:id="rId59"/>
    <sheet name="支付记录" sheetId="57" r:id="rId60"/>
    <sheet name="充值记录" sheetId="64" r:id="rId61"/>
  </sheets>
  <definedNames>
    <definedName name="_xlnm._FilterDatabase" localSheetId="0" hidden="1">字段属性!$A$1:$C$1</definedName>
    <definedName name="_xlnm.Print_Area" localSheetId="9">'WARP发起部品废止信息（废）'!$A$1:$K$43</definedName>
    <definedName name="_xlnm.Print_Area" localSheetId="10">'WARP已同步部品本地废止信息表（废）'!$A$1:$K$43</definedName>
    <definedName name="_xlnm.Print_Area" localSheetId="15">角色表!$A$1:$K$40</definedName>
    <definedName name="_xlnm.Print_Area" localSheetId="3">部门!$A$1:$K$40</definedName>
    <definedName name="_xlnm.Print_Area" localSheetId="8">'车型系列（废）'!$A$1:$K$43</definedName>
    <definedName name="_xlnm.Print_Area" localSheetId="2">建表模板!$A$1:$K$43</definedName>
    <definedName name="_xlnm.Print_Area" localSheetId="4">科室!$A$1:$K$40</definedName>
    <definedName name="_xlnm.Print_Area" localSheetId="13">'生准LT（废）'!$A$1:$K$44</definedName>
    <definedName name="_xlnm.Print_Area" localSheetId="5">系别!$A$1:$K$43</definedName>
    <definedName name="_xlnm.Print_Area" localSheetId="6">员工!$A$1:$K$40</definedName>
    <definedName name="_xlnm.Print_Area" localSheetId="7">账号!$A$1:$K$40</definedName>
    <definedName name="_xlnm.Print_Area" localSheetId="11">'自支给变更（废）'!$A$1:$K$46</definedName>
    <definedName name="_xlnm.Print_Area" localSheetId="12">'自支给变更合意详情表（废）'!$A$1:$K$43</definedName>
    <definedName name="_xlnm.Print_Area" localSheetId="17">权限表!$A$1:$K$38</definedName>
    <definedName name="_xlnm.Print_Area" localSheetId="16">'建表模板 (3)'!$A$1:$K$43</definedName>
    <definedName name="_xlnm.Print_Area" localSheetId="18">角色权限表!$A$1:$K$36</definedName>
    <definedName name="_xlnm.Print_Area" localSheetId="21">菜单表!$A$1:$K$41</definedName>
    <definedName name="_xlnm.Print_Area" localSheetId="23">车位锁信息表!$A$1:$K$45</definedName>
    <definedName name="_xlnm.Print_Area" localSheetId="22">'建表模板 (4)'!$A$1:$K$43</definedName>
    <definedName name="_xlnm.Print_Area" localSheetId="25">地磁信息表!$A$1:$K$44</definedName>
    <definedName name="_xlnm.Print_Area" localSheetId="27">网关信息表!$A$1:$K$41</definedName>
    <definedName name="_xlnm.Print_Area" localSheetId="19">管理员角色表!$A$1:$K$37</definedName>
    <definedName name="_xlnm.Print_Area" localSheetId="20">管理员信息表!$A$1:$K$40</definedName>
    <definedName name="_xlnm.Print_Area" localSheetId="28">停车场信息表!$A$1:$K$43</definedName>
    <definedName name="_xlnm.Print_Area" localSheetId="29">停车场区域表!$A$1:$K$47</definedName>
    <definedName name="_xlnm.Print_Area" localSheetId="31">车位信息表!$A$1:$K$44</definedName>
    <definedName name="_xlnm.Print_Area" localSheetId="32">车位管理员关联表!$A$1:$K$43</definedName>
    <definedName name="_xlnm.Print_Area" localSheetId="33">车位锁日志记录表!$A$1:$K$42</definedName>
    <definedName name="_xlnm.Print_Area" localSheetId="37">停车场收费规则表!$A$1:$K$40</definedName>
    <definedName name="_xlnm.Print_Area" localSheetId="34">固定车辆信息表!$A$1:$K$43</definedName>
    <definedName name="_xlnm.Print_Area" localSheetId="35">固定车辆缴费记录表!$A$1:$K$37</definedName>
    <definedName name="_xlnm.Print_Area" localSheetId="38">包期规则表!$A$1:$K$43</definedName>
    <definedName name="_xlnm.Print_Area" localSheetId="40">充值活动信息表!$A$1:$K$44</definedName>
    <definedName name="_xlnm.Print_Area" localSheetId="39">'建表模板 (5)'!$A$1:$K$43</definedName>
    <definedName name="_xlnm.Print_Area" localSheetId="41">充值记录表!$A$1:$K$44</definedName>
    <definedName name="_xlnm.Print_Area" localSheetId="42">发票记录表!$A$1:$K$44</definedName>
    <definedName name="_xlnm.Print_Area" localSheetId="43">开票规则表!$A$1:$K$43</definedName>
    <definedName name="_xlnm.Print_Area" localSheetId="44">布控车辆信息表!$A$1:$K$47</definedName>
    <definedName name="_xlnm.Print_Area" localSheetId="46">本地登录表!$A$1:$K$43</definedName>
    <definedName name="_xlnm.Print_Area" localSheetId="47">用户微信表!$A$1:$K$43</definedName>
    <definedName name="_xlnm.Print_Area" localSheetId="48">用户车辆列表!$A$1:$K$46</definedName>
    <definedName name="_xlnm.Print_Area" localSheetId="49">预约记录表!$A$1:$K$43</definedName>
    <definedName name="_xlnm.Print_Area" localSheetId="50">场内车辆记录表!$A$1:$K$43</definedName>
    <definedName name="_xlnm.Print_Area" localSheetId="51">过车记录表!$A$1:$K$43</definedName>
    <definedName name="_xlnm.Print_Area" localSheetId="52">订单信息表!$A$1:$K$49</definedName>
    <definedName name="_xlnm.Print_Area" localSheetId="54">推送消息记录表!$A$1:$K$43</definedName>
    <definedName name="_xlnm.Print_Area" localSheetId="55">警告消息记录表!$A$1:$K$47</definedName>
    <definedName name="_xlnm.Print_Area" localSheetId="56">反馈记录表!$A$1:$K$43</definedName>
    <definedName name="_xlnm.Print_Area" localSheetId="57">操作日志表!$A$1:$K$44</definedName>
    <definedName name="_xlnm.Print_Area" localSheetId="45">用户表!$A$1:$K$42</definedName>
    <definedName name="_xlnm.Print_Area" localSheetId="36">收费规则表!$A$1:$K$40</definedName>
    <definedName name="_xlnm.Print_Area" localSheetId="58">'系统参数配置表 '!$A$1:$K$43</definedName>
    <definedName name="_xlnm.Print_Area" localSheetId="59">支付记录!$A$1:$K$45</definedName>
    <definedName name="_xlnm.Print_Area" localSheetId="53">用户消息记录表!$A$1:$K$41</definedName>
    <definedName name="_xlnm.Print_Area" localSheetId="26">地磁数据上报日志表!$A$1:$K$39</definedName>
    <definedName name="_xlnm.Print_Area" localSheetId="24">车位锁数据上报日志!$A$1:$K$41</definedName>
    <definedName name="_xlnm.Print_Area" localSheetId="30">停车场室内地图信息表!$A$1:$K$37</definedName>
    <definedName name="_xlnm.Print_Area" localSheetId="60">充值记录!$A$1:$K$43</definedName>
  </definedNames>
  <calcPr calcId="144525" concurrentCalc="0"/>
</workbook>
</file>

<file path=xl/comments1.xml><?xml version="1.0" encoding="utf-8"?>
<comments xmlns="http://schemas.openxmlformats.org/spreadsheetml/2006/main">
  <authors>
    <author>song</author>
  </authors>
  <commentList>
    <comment ref="A1" authorId="0">
      <text>
        <r>
          <rPr>
            <sz val="9"/>
            <rFont val="Tahoma"/>
            <charset val="134"/>
          </rPr>
          <t>J:java
O:oracle
B:Both java and oracle</t>
        </r>
      </text>
    </comment>
  </commentList>
</comments>
</file>

<file path=xl/comments2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3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4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5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6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7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8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9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10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11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12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13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14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15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16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17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18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19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20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21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22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23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24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25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26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27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28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29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30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31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32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33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34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35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36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37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38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39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40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41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42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43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44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45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46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47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48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49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50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51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52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53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54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55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56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57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58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comments59.xml><?xml version="1.0" encoding="utf-8"?>
<comments xmlns="http://schemas.openxmlformats.org/spreadsheetml/2006/main">
  <authors>
    <author>song</author>
  </authors>
  <commentList>
    <comment ref="A6" authorId="0">
      <text>
        <r>
          <rPr>
            <sz val="9"/>
            <rFont val="宋体"/>
            <charset val="134"/>
          </rPr>
          <t>该列所有字段行必须要有值。
如果临时希望不要某个字段，可在对应字段的该列打上删除线</t>
        </r>
      </text>
    </comment>
    <comment ref="E6" authorId="0">
      <text>
        <r>
          <rPr>
            <sz val="9"/>
            <rFont val="宋体"/>
            <charset val="134"/>
          </rPr>
          <t>非人工填写，由工具自动根据“属性”列生成，该列只作直观展示用</t>
        </r>
      </text>
    </comment>
    <comment ref="F6" authorId="0">
      <text>
        <r>
          <rPr>
            <sz val="9"/>
            <rFont val="Tahoma"/>
            <charset val="134"/>
          </rPr>
          <t>N</t>
        </r>
        <r>
          <rPr>
            <sz val="9"/>
            <rFont val="宋体"/>
            <charset val="134"/>
          </rPr>
          <t>：非空</t>
        </r>
      </text>
    </comment>
    <comment ref="H6" authorId="0">
      <text>
        <r>
          <rPr>
            <sz val="9"/>
            <rFont val="宋体"/>
            <charset val="134"/>
          </rPr>
          <t>填写阿拉伯数字，数值越小排位越靠前</t>
        </r>
      </text>
    </comment>
    <comment ref="I6" authorId="0">
      <text>
        <r>
          <rPr>
            <sz val="9"/>
            <rFont val="宋体"/>
            <charset val="134"/>
          </rPr>
          <t>填写三位字符：
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位表示索引类型，
第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>位指明分组，
第</t>
        </r>
        <r>
          <rPr>
            <sz val="9"/>
            <rFont val="Tahoma"/>
            <charset val="134"/>
          </rPr>
          <t>3</t>
        </r>
        <r>
          <rPr>
            <sz val="9"/>
            <rFont val="宋体"/>
            <charset val="134"/>
          </rPr>
          <t>位指明字段顺序。
其中，第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位的含义：</t>
        </r>
        <r>
          <rPr>
            <sz val="9"/>
            <rFont val="Tahoma"/>
            <charset val="134"/>
          </rPr>
          <t xml:space="preserve">
I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Index</t>
        </r>
        <r>
          <rPr>
            <sz val="9"/>
            <rFont val="宋体"/>
            <charset val="134"/>
          </rPr>
          <t>）表示普通索引</t>
        </r>
        <r>
          <rPr>
            <sz val="9"/>
            <rFont val="Tahoma"/>
            <charset val="134"/>
          </rPr>
          <t xml:space="preserve">
U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Unique</t>
        </r>
        <r>
          <rPr>
            <sz val="9"/>
            <rFont val="宋体"/>
            <charset val="134"/>
          </rPr>
          <t xml:space="preserve">）表示唯一索引
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（</t>
        </r>
        <r>
          <rPr>
            <sz val="9"/>
            <rFont val="Tahoma"/>
            <charset val="134"/>
          </rPr>
          <t>Bitmap</t>
        </r>
        <r>
          <rPr>
            <sz val="9"/>
            <rFont val="宋体"/>
            <charset val="134"/>
          </rPr>
          <t>）表示位图索引
每个索引用不同的序号标记，组合索引中的每个字段用相同的序号。比如：
字段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U11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U12</t>
        </r>
        <r>
          <rPr>
            <sz val="9"/>
            <rFont val="宋体"/>
            <charset val="134"/>
          </rPr>
          <t>，
字段</t>
        </r>
        <r>
          <rPr>
            <sz val="9"/>
            <rFont val="Tahoma"/>
            <charset val="134"/>
          </rPr>
          <t>C</t>
        </r>
        <r>
          <rPr>
            <sz val="9"/>
            <rFont val="宋体"/>
            <charset val="134"/>
          </rPr>
          <t>标记为</t>
        </r>
        <r>
          <rPr>
            <sz val="9"/>
            <rFont val="Tahoma"/>
            <charset val="134"/>
          </rPr>
          <t>U21</t>
        </r>
        <r>
          <rPr>
            <sz val="9"/>
            <rFont val="宋体"/>
            <charset val="134"/>
          </rPr>
          <t>。
表明该表有两个唯一索引，其中一个还是组合索引，且对于组合索引，</t>
        </r>
        <r>
          <rPr>
            <sz val="9"/>
            <rFont val="Tahoma"/>
            <charset val="134"/>
          </rPr>
          <t>A</t>
        </r>
        <r>
          <rPr>
            <sz val="9"/>
            <rFont val="宋体"/>
            <charset val="134"/>
          </rPr>
          <t>排在</t>
        </r>
        <r>
          <rPr>
            <sz val="9"/>
            <rFont val="Tahoma"/>
            <charset val="134"/>
          </rPr>
          <t>B</t>
        </r>
        <r>
          <rPr>
            <sz val="9"/>
            <rFont val="宋体"/>
            <charset val="134"/>
          </rPr>
          <t xml:space="preserve">的前面
</t>
        </r>
        <r>
          <rPr>
            <sz val="9"/>
            <rFont val="Tahoma"/>
            <charset val="134"/>
          </rPr>
          <t>*</t>
        </r>
        <r>
          <rPr>
            <sz val="9"/>
            <rFont val="宋体"/>
            <charset val="134"/>
          </rPr>
          <t>注：暂时不支持多个索引都用到同一个字段</t>
        </r>
      </text>
    </comment>
    <comment ref="J6" authorId="0">
      <text>
        <r>
          <rPr>
            <sz val="9"/>
            <rFont val="宋体"/>
            <charset val="134"/>
          </rPr>
          <t>暂未支持</t>
        </r>
      </text>
    </comment>
  </commentList>
</comments>
</file>

<file path=xl/sharedStrings.xml><?xml version="1.0" encoding="utf-8"?>
<sst xmlns="http://schemas.openxmlformats.org/spreadsheetml/2006/main" count="1062">
  <si>
    <t>属性名称</t>
  </si>
  <si>
    <t>数据类型</t>
  </si>
  <si>
    <t>备注</t>
  </si>
  <si>
    <t>id</t>
  </si>
  <si>
    <t>int(11)</t>
  </si>
  <si>
    <t>uuid</t>
  </si>
  <si>
    <t>varchar(32)</t>
  </si>
  <si>
    <t>roleNo</t>
  </si>
  <si>
    <t>角色编号</t>
  </si>
  <si>
    <t>roleName</t>
  </si>
  <si>
    <t>varchar(100)</t>
  </si>
  <si>
    <t>角色名称</t>
  </si>
  <si>
    <t>creator</t>
  </si>
  <si>
    <t>创建者</t>
  </si>
  <si>
    <t>datetime</t>
  </si>
  <si>
    <t>时间</t>
  </si>
  <si>
    <t>menuNo</t>
  </si>
  <si>
    <t>菜单编号</t>
  </si>
  <si>
    <t>menuName</t>
  </si>
  <si>
    <t>菜单名称</t>
  </si>
  <si>
    <t>level</t>
  </si>
  <si>
    <t>int(2)</t>
  </si>
  <si>
    <t>菜单等级</t>
  </si>
  <si>
    <t>preMenuNo</t>
  </si>
  <si>
    <t>上级菜单Id</t>
  </si>
  <si>
    <t>pageUrl</t>
  </si>
  <si>
    <t>菜单访问地址</t>
  </si>
  <si>
    <t>iconUrl</t>
  </si>
  <si>
    <t>菜单图标访问地址</t>
  </si>
  <si>
    <t>privilegeNo</t>
  </si>
  <si>
    <t>权限编号</t>
  </si>
  <si>
    <t>serialNumber</t>
  </si>
  <si>
    <t>车位锁串号</t>
  </si>
  <si>
    <t>power</t>
  </si>
  <si>
    <t>int(3)</t>
  </si>
  <si>
    <t>电量</t>
  </si>
  <si>
    <t>EnumChar1</t>
  </si>
  <si>
    <t>char(1)</t>
  </si>
  <si>
    <t>状态</t>
  </si>
  <si>
    <t>parkingLot</t>
  </si>
  <si>
    <t>所属停车场</t>
  </si>
  <si>
    <t>parkingNo</t>
  </si>
  <si>
    <t>所属车位</t>
  </si>
  <si>
    <t>parkingId</t>
  </si>
  <si>
    <t>车位id</t>
  </si>
  <si>
    <t>location</t>
  </si>
  <si>
    <t>车位锁位置</t>
  </si>
  <si>
    <t>coordinate</t>
  </si>
  <si>
    <t>double</t>
  </si>
  <si>
    <t>坐标</t>
  </si>
  <si>
    <t>verno</t>
  </si>
  <si>
    <t>版本号</t>
  </si>
  <si>
    <t>operator</t>
  </si>
  <si>
    <t>操作者</t>
  </si>
  <si>
    <t>adminId</t>
  </si>
  <si>
    <t>管理员id</t>
  </si>
  <si>
    <t>account</t>
  </si>
  <si>
    <t>varchar(50)</t>
  </si>
  <si>
    <t>管理员账号</t>
  </si>
  <si>
    <t>adminName</t>
  </si>
  <si>
    <t>管理员名称</t>
  </si>
  <si>
    <t>账号</t>
  </si>
  <si>
    <t>password</t>
  </si>
  <si>
    <t>密码</t>
  </si>
  <si>
    <t>phoneNumber</t>
  </si>
  <si>
    <t>电话号码</t>
  </si>
  <si>
    <t>modifier</t>
  </si>
  <si>
    <t>修改者</t>
  </si>
  <si>
    <t>remark</t>
  </si>
  <si>
    <t>varchar(500)</t>
  </si>
  <si>
    <t>parkinglotId</t>
  </si>
  <si>
    <t>所属停车场id</t>
  </si>
  <si>
    <t>parkingLotName</t>
  </si>
  <si>
    <t>停车场名称</t>
  </si>
  <si>
    <t>totalCount</t>
  </si>
  <si>
    <t>车位总数量</t>
  </si>
  <si>
    <t>inUseCount</t>
  </si>
  <si>
    <t>使用中车位数量</t>
  </si>
  <si>
    <t>freeCount</t>
  </si>
  <si>
    <t>空闲车位数量</t>
  </si>
  <si>
    <t>freeTime</t>
  </si>
  <si>
    <t>int(5)</t>
  </si>
  <si>
    <t>免费停车时长(分钟)</t>
  </si>
  <si>
    <t>leaveOutTime</t>
  </si>
  <si>
    <t>离场超时时长(分钟)</t>
  </si>
  <si>
    <t>revatationTime</t>
  </si>
  <si>
    <t>免费预约时长(分钟)</t>
  </si>
  <si>
    <t>areaName</t>
  </si>
  <si>
    <t>停车场区域名称</t>
  </si>
  <si>
    <t>车位编号</t>
  </si>
  <si>
    <t>district</t>
  </si>
  <si>
    <t>所属区域</t>
  </si>
  <si>
    <t>ruleName</t>
  </si>
  <si>
    <t>规则名称</t>
  </si>
  <si>
    <t>EnumChar2</t>
  </si>
  <si>
    <t>char(2)</t>
  </si>
  <si>
    <t>firstPeriod</t>
  </si>
  <si>
    <t>首段收付费时长</t>
  </si>
  <si>
    <t>firstPeriodAmount</t>
  </si>
  <si>
    <t>decimal(15,2)</t>
  </si>
  <si>
    <t>首段收费金额</t>
  </si>
  <si>
    <t>intervalTime</t>
  </si>
  <si>
    <t>间隔收费时长</t>
  </si>
  <si>
    <t>price</t>
  </si>
  <si>
    <t>间隔收费金额</t>
  </si>
  <si>
    <t>upLimitAcount24</t>
  </si>
  <si>
    <t>24小时封顶金额</t>
  </si>
  <si>
    <t>upLimitAcount12</t>
  </si>
  <si>
    <t>12小时封顶金额</t>
  </si>
  <si>
    <t>desc</t>
  </si>
  <si>
    <t>规则描述</t>
  </si>
  <si>
    <t>carNumber</t>
  </si>
  <si>
    <t>车牌号码</t>
  </si>
  <si>
    <t>type</t>
  </si>
  <si>
    <t>包期类型</t>
  </si>
  <si>
    <t>fee</t>
  </si>
  <si>
    <t>包期金额</t>
  </si>
  <si>
    <t>duration</t>
  </si>
  <si>
    <t>包期时长</t>
  </si>
  <si>
    <t>ownName</t>
  </si>
  <si>
    <t>车主姓名</t>
  </si>
  <si>
    <t>phoneint</t>
  </si>
  <si>
    <t>车主电话</t>
  </si>
  <si>
    <t>name</t>
  </si>
  <si>
    <t>包期名称</t>
  </si>
  <si>
    <t>presentAmount</t>
  </si>
  <si>
    <t>已赠送金额</t>
  </si>
  <si>
    <t>limit</t>
  </si>
  <si>
    <t>赠送金额上限</t>
  </si>
  <si>
    <t>userId</t>
  </si>
  <si>
    <t>充值账号id</t>
  </si>
  <si>
    <t>depositAmount</t>
  </si>
  <si>
    <t>充值金额</t>
  </si>
  <si>
    <t>赠送金额</t>
  </si>
  <si>
    <t>intoAccountAmount</t>
  </si>
  <si>
    <t>实际到账金额</t>
  </si>
  <si>
    <t>activityName</t>
  </si>
  <si>
    <t>活动名称</t>
  </si>
  <si>
    <t>activityId</t>
  </si>
  <si>
    <t>活动id</t>
  </si>
  <si>
    <t>invoiceNo</t>
  </si>
  <si>
    <t>varchar(20)</t>
  </si>
  <si>
    <t>发票编号</t>
  </si>
  <si>
    <t>invoiceFee</t>
  </si>
  <si>
    <t>发票金额</t>
  </si>
  <si>
    <t>deliveryFee</t>
  </si>
  <si>
    <t>发票运费</t>
  </si>
  <si>
    <t>invoiceHead</t>
  </si>
  <si>
    <t>发票抬头</t>
  </si>
  <si>
    <t>receiver</t>
  </si>
  <si>
    <t>收件人</t>
  </si>
  <si>
    <t>linkPhone</t>
  </si>
  <si>
    <t>收件人联系电话</t>
  </si>
  <si>
    <t>address</t>
  </si>
  <si>
    <t>varchar(200)</t>
  </si>
  <si>
    <t>收件地址</t>
  </si>
  <si>
    <t>postcode</t>
  </si>
  <si>
    <t>char(6)</t>
  </si>
  <si>
    <t>邮政编码</t>
  </si>
  <si>
    <t>deliveryCompany</t>
  </si>
  <si>
    <t>快递公司</t>
  </si>
  <si>
    <t>deliveryNo</t>
  </si>
  <si>
    <t>快递单号</t>
  </si>
  <si>
    <t>linkman</t>
  </si>
  <si>
    <t>联系人</t>
  </si>
  <si>
    <t>contactPhone</t>
  </si>
  <si>
    <t>联系电话</t>
  </si>
  <si>
    <t>cause</t>
  </si>
  <si>
    <t>布控原因</t>
  </si>
  <si>
    <t>parkingLots</t>
  </si>
  <si>
    <t>手机号码</t>
  </si>
  <si>
    <t>jpushId</t>
  </si>
  <si>
    <t>极光推送id</t>
  </si>
  <si>
    <t>username</t>
  </si>
  <si>
    <t>用户名</t>
  </si>
  <si>
    <t>登录密码</t>
  </si>
  <si>
    <t>nickName</t>
  </si>
  <si>
    <t>昵称</t>
  </si>
  <si>
    <t>headImageUrl</t>
  </si>
  <si>
    <t>头像</t>
  </si>
  <si>
    <t>orderNo</t>
  </si>
  <si>
    <t>订单号</t>
  </si>
  <si>
    <t>payedFee</t>
  </si>
  <si>
    <t>支付金额</t>
  </si>
  <si>
    <t>预约时长(分钟)</t>
  </si>
  <si>
    <t>carNumberPhotoUrl</t>
  </si>
  <si>
    <t>车牌图片URL</t>
  </si>
  <si>
    <t>totalFee</t>
  </si>
  <si>
    <t>总金额</t>
  </si>
  <si>
    <t>discountFee</t>
  </si>
  <si>
    <t>折扣金额</t>
  </si>
  <si>
    <t>已支付金额</t>
  </si>
  <si>
    <t>unPayFee</t>
  </si>
  <si>
    <t>未支付金额</t>
  </si>
  <si>
    <t>balance</t>
  </si>
  <si>
    <t>余额</t>
  </si>
  <si>
    <t>title</t>
  </si>
  <si>
    <t>标题</t>
  </si>
  <si>
    <t>content</t>
  </si>
  <si>
    <t>varchar(2048)</t>
  </si>
  <si>
    <t>内容</t>
  </si>
  <si>
    <t>readCount</t>
  </si>
  <si>
    <t>int(15)</t>
  </si>
  <si>
    <t>阅读量</t>
  </si>
  <si>
    <t>message</t>
  </si>
  <si>
    <t>故障消息</t>
  </si>
  <si>
    <t>opDesc</t>
  </si>
  <si>
    <t>操作描述</t>
  </si>
  <si>
    <t>moduleName</t>
  </si>
  <si>
    <t>模块名称</t>
  </si>
  <si>
    <t>paramName</t>
  </si>
  <si>
    <t>paramCode</t>
  </si>
  <si>
    <t>paramValue</t>
  </si>
  <si>
    <t>varchar(255)</t>
  </si>
  <si>
    <t>paramDesc</t>
  </si>
  <si>
    <t>defaultValue</t>
  </si>
  <si>
    <t>fileUrl</t>
  </si>
  <si>
    <t>dateStr</t>
  </si>
  <si>
    <t>char(10)</t>
  </si>
  <si>
    <t>parkingPrice</t>
  </si>
  <si>
    <t>decimal(4,1)</t>
  </si>
  <si>
    <t>停车单价</t>
  </si>
  <si>
    <t>url</t>
  </si>
  <si>
    <t>mapName</t>
  </si>
  <si>
    <t>version</t>
  </si>
  <si>
    <t>tradeStatus</t>
  </si>
  <si>
    <t>区分</t>
  </si>
  <si>
    <t>前缀注释</t>
  </si>
  <si>
    <t>前缀</t>
  </si>
  <si>
    <t>后缀</t>
  </si>
  <si>
    <t>值</t>
  </si>
  <si>
    <t>后缀中文注释</t>
  </si>
  <si>
    <t>B</t>
  </si>
  <si>
    <t>返回代码</t>
  </si>
  <si>
    <t>int</t>
  </si>
  <si>
    <t>Rtn</t>
  </si>
  <si>
    <t>Success</t>
  </si>
  <si>
    <t>成功</t>
  </si>
  <si>
    <t>是</t>
  </si>
  <si>
    <t>Failure</t>
  </si>
  <si>
    <t>失败</t>
  </si>
  <si>
    <t>通用有无或存在与否</t>
  </si>
  <si>
    <t>ExistFlg</t>
  </si>
  <si>
    <t>No</t>
  </si>
  <si>
    <t>无</t>
  </si>
  <si>
    <t>Yes</t>
  </si>
  <si>
    <t>有</t>
  </si>
  <si>
    <t>通用是或不是</t>
  </si>
  <si>
    <t>YesNoFlg</t>
  </si>
  <si>
    <t>不是</t>
  </si>
  <si>
    <t>通用成功或者失败</t>
  </si>
  <si>
    <t>OPResult</t>
  </si>
  <si>
    <t>车位状态</t>
  </si>
  <si>
    <t>ParkingStatus</t>
  </si>
  <si>
    <t>Free</t>
  </si>
  <si>
    <t>空闲</t>
  </si>
  <si>
    <t>Use</t>
  </si>
  <si>
    <t>占用</t>
  </si>
  <si>
    <t>注册类型</t>
  </si>
  <si>
    <t>RegisterType</t>
  </si>
  <si>
    <t>App</t>
  </si>
  <si>
    <t>Wechat</t>
  </si>
  <si>
    <t>微信</t>
  </si>
  <si>
    <t>车辆状态</t>
  </si>
  <si>
    <t>CarStatus</t>
  </si>
  <si>
    <t>Out</t>
  </si>
  <si>
    <t>未入场</t>
  </si>
  <si>
    <t>Reservation</t>
  </si>
  <si>
    <t>已预约</t>
  </si>
  <si>
    <t>In</t>
  </si>
  <si>
    <t>已入场</t>
  </si>
  <si>
    <t>NotLeave</t>
  </si>
  <si>
    <t>已缴费未出场</t>
  </si>
  <si>
    <t>管理员账号状态</t>
  </si>
  <si>
    <t>AdminStatus</t>
  </si>
  <si>
    <t>Unabled</t>
  </si>
  <si>
    <t>未启用</t>
  </si>
  <si>
    <t>Enabled</t>
  </si>
  <si>
    <t>启用</t>
  </si>
  <si>
    <t>活动状态</t>
  </si>
  <si>
    <t>ActivityStatus</t>
  </si>
  <si>
    <t>UnStart</t>
  </si>
  <si>
    <t>未开始</t>
  </si>
  <si>
    <t>Ing</t>
  </si>
  <si>
    <t>进行中</t>
  </si>
  <si>
    <t>End</t>
  </si>
  <si>
    <t>已结束</t>
  </si>
  <si>
    <t>预约状态</t>
  </si>
  <si>
    <t>RevatationStatus</t>
  </si>
  <si>
    <t>Revatationed</t>
  </si>
  <si>
    <t>预约失败</t>
  </si>
  <si>
    <t>预约成功</t>
  </si>
  <si>
    <t>Cancel</t>
  </si>
  <si>
    <t>已取消</t>
  </si>
  <si>
    <t>Using</t>
  </si>
  <si>
    <t>使用中</t>
  </si>
  <si>
    <t>OverTime</t>
  </si>
  <si>
    <t>预约超时</t>
  </si>
  <si>
    <t>结束</t>
  </si>
  <si>
    <t>支付方式</t>
  </si>
  <si>
    <t>PayWay</t>
  </si>
  <si>
    <t>Online</t>
  </si>
  <si>
    <t>网络支付</t>
  </si>
  <si>
    <t>Cash</t>
  </si>
  <si>
    <t>现金支付</t>
  </si>
  <si>
    <t>Alipay</t>
  </si>
  <si>
    <t>支付宝支付</t>
  </si>
  <si>
    <t>WxPay</t>
  </si>
  <si>
    <t>微信支付</t>
  </si>
  <si>
    <t>Balance</t>
  </si>
  <si>
    <t>反馈类型</t>
  </si>
  <si>
    <t>FeedbackType</t>
  </si>
  <si>
    <t>SoftwareBug</t>
  </si>
  <si>
    <t>软件Bug</t>
  </si>
  <si>
    <t>Advice</t>
  </si>
  <si>
    <t>建议</t>
  </si>
  <si>
    <t>Other</t>
  </si>
  <si>
    <t>其他</t>
  </si>
  <si>
    <t>警告处理状态</t>
  </si>
  <si>
    <t>AlarmHandleStatus</t>
  </si>
  <si>
    <t>UnProcessed</t>
  </si>
  <si>
    <t>未处理</t>
  </si>
  <si>
    <t>Processed</t>
  </si>
  <si>
    <t>已处理</t>
  </si>
  <si>
    <t>订单来源</t>
  </si>
  <si>
    <t>OrderSource</t>
  </si>
  <si>
    <t>Barrier</t>
  </si>
  <si>
    <t>道闸</t>
  </si>
  <si>
    <t>PDA</t>
  </si>
  <si>
    <t>订单状态</t>
  </si>
  <si>
    <t>OrderStatus</t>
  </si>
  <si>
    <t>OwnFee</t>
  </si>
  <si>
    <t>欠费</t>
  </si>
  <si>
    <t>是否为免费订单</t>
  </si>
  <si>
    <t>IsFreeOrder</t>
  </si>
  <si>
    <t>非免费订单</t>
  </si>
  <si>
    <t>免费订单</t>
  </si>
  <si>
    <t>车辆进出方向</t>
  </si>
  <si>
    <t>PassDirec</t>
  </si>
  <si>
    <t>进</t>
  </si>
  <si>
    <t>出</t>
  </si>
  <si>
    <t>车辆类型</t>
  </si>
  <si>
    <t>carType</t>
  </si>
  <si>
    <t>Large</t>
  </si>
  <si>
    <t>大型车</t>
  </si>
  <si>
    <t>Mid</t>
  </si>
  <si>
    <t>中型车</t>
  </si>
  <si>
    <t>Small</t>
  </si>
  <si>
    <t>小型车</t>
  </si>
  <si>
    <t>停车类型</t>
  </si>
  <si>
    <t>parkingType</t>
  </si>
  <si>
    <t>Temp</t>
  </si>
  <si>
    <t>临时车</t>
  </si>
  <si>
    <t>MonthRent</t>
  </si>
  <si>
    <t>月租车</t>
  </si>
  <si>
    <t>网关状态</t>
  </si>
  <si>
    <t>GatewayStatus</t>
  </si>
  <si>
    <t>inline</t>
  </si>
  <si>
    <t>在线</t>
  </si>
  <si>
    <t>offline</t>
  </si>
  <si>
    <t>离线</t>
  </si>
  <si>
    <t>车位锁状态</t>
  </si>
  <si>
    <t>ParkingLockStatus</t>
  </si>
  <si>
    <t>NoConnection</t>
  </si>
  <si>
    <t>未连接</t>
  </si>
  <si>
    <t>Lock</t>
  </si>
  <si>
    <t>升起</t>
  </si>
  <si>
    <t>UnLock</t>
  </si>
  <si>
    <t>降下</t>
  </si>
  <si>
    <t>Impact</t>
  </si>
  <si>
    <t>外力碰撞</t>
  </si>
  <si>
    <t>Block</t>
  </si>
  <si>
    <t>升起受阻</t>
  </si>
  <si>
    <t>Fault</t>
  </si>
  <si>
    <t>硬件故障</t>
  </si>
  <si>
    <t>地磁状态</t>
  </si>
  <si>
    <t>GeoStatus</t>
  </si>
  <si>
    <t>Initial</t>
  </si>
  <si>
    <t>初始化</t>
  </si>
  <si>
    <t>Error</t>
  </si>
  <si>
    <t>错误</t>
  </si>
  <si>
    <t>Unknow</t>
  </si>
  <si>
    <t>未知</t>
  </si>
  <si>
    <t>OffLine</t>
  </si>
  <si>
    <t>设备类型</t>
  </si>
  <si>
    <t>DeviceType</t>
  </si>
  <si>
    <t>01</t>
  </si>
  <si>
    <t>车位锁</t>
  </si>
  <si>
    <t>GateWay</t>
  </si>
  <si>
    <t>02</t>
  </si>
  <si>
    <t>网关</t>
  </si>
  <si>
    <t>Geomagnetism</t>
  </si>
  <si>
    <t>06</t>
  </si>
  <si>
    <t>地磁</t>
  </si>
  <si>
    <t>车位锁操作类型</t>
  </si>
  <si>
    <t>LockOpType</t>
  </si>
  <si>
    <t>Up</t>
  </si>
  <si>
    <t>Down</t>
  </si>
  <si>
    <t>地磁是否空闲</t>
  </si>
  <si>
    <t>GeoIsFree</t>
  </si>
  <si>
    <t>车位创建方式</t>
  </si>
  <si>
    <t>ParkingCreateWay</t>
  </si>
  <si>
    <t>Single</t>
  </si>
  <si>
    <t>单个添加</t>
  </si>
  <si>
    <t>excelBatch</t>
  </si>
  <si>
    <t>Excel批量导入</t>
  </si>
  <si>
    <t>PaasBatch</t>
  </si>
  <si>
    <t>Paas批量导入</t>
  </si>
  <si>
    <t>车位锁告警类型</t>
  </si>
  <si>
    <t>LockAlarmType</t>
  </si>
  <si>
    <t>LowPower</t>
  </si>
  <si>
    <t>低电量</t>
  </si>
  <si>
    <t>地磁告警类型</t>
  </si>
  <si>
    <t>GeoAlarmType</t>
  </si>
  <si>
    <t>SMI</t>
  </si>
  <si>
    <t>强磁干扰</t>
  </si>
  <si>
    <t>支付状态</t>
  </si>
  <si>
    <t>PayStatus</t>
  </si>
  <si>
    <t>UnPay</t>
  </si>
  <si>
    <t>未支付</t>
  </si>
  <si>
    <t>Payed</t>
  </si>
  <si>
    <t>已支付</t>
  </si>
  <si>
    <t>UnRefund</t>
  </si>
  <si>
    <t>未退款</t>
  </si>
  <si>
    <t>Refund</t>
  </si>
  <si>
    <t>已退款</t>
  </si>
  <si>
    <t>管理员类型</t>
  </si>
  <si>
    <t>AdminType</t>
  </si>
  <si>
    <t>Device</t>
  </si>
  <si>
    <t>设备管理员</t>
  </si>
  <si>
    <t>Charge</t>
  </si>
  <si>
    <t>收费管理员</t>
  </si>
  <si>
    <t>Both</t>
  </si>
  <si>
    <t>设备管理员、收费管理员</t>
  </si>
  <si>
    <t>设备绑定情况</t>
  </si>
  <si>
    <t>DevBindStatus</t>
  </si>
  <si>
    <t>已绑定设备</t>
  </si>
  <si>
    <t>未绑定车位锁</t>
  </si>
  <si>
    <t>地磁强磁干扰</t>
  </si>
  <si>
    <t>SMIStatus</t>
  </si>
  <si>
    <t>Formal</t>
  </si>
  <si>
    <t>正常</t>
  </si>
  <si>
    <t>订单发票状态</t>
  </si>
  <si>
    <t>OrderInvoiceStatus</t>
  </si>
  <si>
    <t>NotQualified</t>
  </si>
  <si>
    <t>不具备</t>
  </si>
  <si>
    <t>UnApply</t>
  </si>
  <si>
    <t>未申请</t>
  </si>
  <si>
    <t>Applyed</t>
  </si>
  <si>
    <t>已申请</t>
  </si>
  <si>
    <t>Finish</t>
  </si>
  <si>
    <t>已完成</t>
  </si>
  <si>
    <t>发票状态</t>
  </si>
  <si>
    <t>InvoiceStatus</t>
  </si>
  <si>
    <t>Review</t>
  </si>
  <si>
    <t>审核中</t>
  </si>
  <si>
    <t>固定车状态</t>
  </si>
  <si>
    <t>WhitelistStatus</t>
  </si>
  <si>
    <t>UnExpired</t>
  </si>
  <si>
    <t>有效</t>
  </si>
  <si>
    <t>Expired</t>
  </si>
  <si>
    <t>已过期</t>
  </si>
  <si>
    <t>费用类型</t>
  </si>
  <si>
    <t>FeeType</t>
  </si>
  <si>
    <t>AppointParkingFee</t>
  </si>
  <si>
    <t>预约停车费用</t>
  </si>
  <si>
    <t>ParkingFee</t>
  </si>
  <si>
    <t>停车费用</t>
  </si>
  <si>
    <t>BalanceRecharge</t>
  </si>
  <si>
    <t>余额充值</t>
  </si>
  <si>
    <t>系统名</t>
  </si>
  <si>
    <t>GTMC部品采购系统</t>
  </si>
  <si>
    <t>查看字段属性</t>
  </si>
  <si>
    <t>表ID</t>
  </si>
  <si>
    <t>表名</t>
  </si>
  <si>
    <t>查看常量定义</t>
  </si>
  <si>
    <t>内容说明</t>
  </si>
  <si>
    <t>额外SQL</t>
  </si>
  <si>
    <t>返回目录</t>
  </si>
  <si>
    <t>中文字段名</t>
  </si>
  <si>
    <t>英文字段名</t>
  </si>
  <si>
    <t>属性</t>
  </si>
  <si>
    <t>空</t>
  </si>
  <si>
    <t>默认值</t>
  </si>
  <si>
    <t>PK</t>
  </si>
  <si>
    <t>索引</t>
  </si>
  <si>
    <t>虚拟定义</t>
  </si>
  <si>
    <t>Id</t>
  </si>
  <si>
    <t>N</t>
  </si>
  <si>
    <t>U11</t>
  </si>
  <si>
    <t>基盘功能用，整表唯一</t>
  </si>
  <si>
    <t>Process_id</t>
  </si>
  <si>
    <t>Process_Id</t>
  </si>
  <si>
    <t>基盘功能用，工作流的唯一标识</t>
  </si>
  <si>
    <t>Creator</t>
  </si>
  <si>
    <t>App_User_Id</t>
  </si>
  <si>
    <t>基盘功能用，添加记录到系统的用户Id</t>
  </si>
  <si>
    <t>Creator_name</t>
  </si>
  <si>
    <t>App_User_Name</t>
  </si>
  <si>
    <t>基盘功能用，添加记录到系统的用户名称</t>
  </si>
  <si>
    <t>Create_date</t>
  </si>
  <si>
    <t>BaseDate</t>
  </si>
  <si>
    <t>基盘功能用，记录被添加到系统的日期</t>
  </si>
  <si>
    <t>Modifier</t>
  </si>
  <si>
    <t>App_User_id</t>
  </si>
  <si>
    <t>基盘功能用，最近一次更新记录的用户Id</t>
  </si>
  <si>
    <t>Modifier_name</t>
  </si>
  <si>
    <t>App_User_name</t>
  </si>
  <si>
    <t>基盘功能用，最近一次更新记录的用户名称</t>
  </si>
  <si>
    <t>Modify_date</t>
  </si>
  <si>
    <t>基盘功能用，记录最近一次被更新的日期</t>
  </si>
  <si>
    <t>VerNo</t>
  </si>
  <si>
    <t>记录被添加进来时为1，以后被更新时递增</t>
  </si>
  <si>
    <t>t_Department</t>
  </si>
  <si>
    <t>部门</t>
  </si>
  <si>
    <t>部门信息</t>
  </si>
  <si>
    <t>varchar2(50)</t>
  </si>
  <si>
    <t>Date</t>
  </si>
  <si>
    <t>number(9)</t>
  </si>
  <si>
    <t>部门代码</t>
  </si>
  <si>
    <t>DpmtId</t>
  </si>
  <si>
    <t>部门名称</t>
  </si>
  <si>
    <t>DpmtName</t>
  </si>
  <si>
    <t>U21</t>
  </si>
  <si>
    <t>部长</t>
  </si>
  <si>
    <t>Minister</t>
  </si>
  <si>
    <t>EmployeeId</t>
  </si>
  <si>
    <t>员工代码</t>
  </si>
  <si>
    <t>Status</t>
  </si>
  <si>
    <t>前缀：Status1
新建时状态为初始，未启用之前可以物理删除，一旦启用之后就永远不能再变为初始，只可能在启用和禁用之间转换</t>
  </si>
  <si>
    <t>t_Section</t>
  </si>
  <si>
    <t>科室</t>
  </si>
  <si>
    <t>科室信息</t>
  </si>
  <si>
    <t>科室代码</t>
  </si>
  <si>
    <t>SctnId</t>
  </si>
  <si>
    <t>科室名称</t>
  </si>
  <si>
    <t>SctnName</t>
  </si>
  <si>
    <t>U22</t>
  </si>
  <si>
    <t>科长</t>
  </si>
  <si>
    <t>Chief</t>
  </si>
  <si>
    <t>t_Branch</t>
  </si>
  <si>
    <t>系别</t>
  </si>
  <si>
    <t>系别信息</t>
  </si>
  <si>
    <t>系别代码</t>
  </si>
  <si>
    <t>BrchId</t>
  </si>
  <si>
    <t>系别名称</t>
  </si>
  <si>
    <t>BrchName</t>
  </si>
  <si>
    <t>系长</t>
  </si>
  <si>
    <t>Monitor</t>
  </si>
  <si>
    <t>t_Employee</t>
  </si>
  <si>
    <t>员工</t>
  </si>
  <si>
    <t>员工信息</t>
  </si>
  <si>
    <t>员工名称</t>
  </si>
  <si>
    <t>EmployeeName</t>
  </si>
  <si>
    <t>PersonName</t>
  </si>
  <si>
    <t>禁用原因</t>
  </si>
  <si>
    <t>DisableReason</t>
  </si>
  <si>
    <t>Reason200</t>
  </si>
  <si>
    <t>t_Account</t>
  </si>
  <si>
    <t>系统登录账号</t>
  </si>
  <si>
    <t>账号代码</t>
  </si>
  <si>
    <t>AccountId</t>
  </si>
  <si>
    <t>账号类型</t>
  </si>
  <si>
    <t>AccountType</t>
  </si>
  <si>
    <t>前缀：AccountType</t>
  </si>
  <si>
    <t>账号类型为GTMC员工时非空，否则空</t>
  </si>
  <si>
    <t>供应商代码</t>
  </si>
  <si>
    <t>SupplierId</t>
  </si>
  <si>
    <t>账号类型为供应商时非空，否则空</t>
  </si>
  <si>
    <t>Password</t>
  </si>
  <si>
    <t>前台MD5加密后存入</t>
  </si>
  <si>
    <t>语种偏好</t>
  </si>
  <si>
    <t>PreferdLang</t>
  </si>
  <si>
    <t>EnumVChar10</t>
  </si>
  <si>
    <t>前缀：language</t>
  </si>
  <si>
    <t>t_VehSeries</t>
  </si>
  <si>
    <t>车型系列</t>
  </si>
  <si>
    <t>一个车型下分多个系列</t>
  </si>
  <si>
    <t>车型代码</t>
  </si>
  <si>
    <t>VehModId</t>
  </si>
  <si>
    <t>VehSeriesId</t>
  </si>
  <si>
    <t>车型系列中文名</t>
  </si>
  <si>
    <t>VehSeriesName</t>
  </si>
  <si>
    <t>t_AbolishFromWARP</t>
  </si>
  <si>
    <t>WARP发起部品废止信息</t>
  </si>
  <si>
    <t>存放的是TMC发起的部品废止信息</t>
  </si>
  <si>
    <t>品番</t>
  </si>
  <si>
    <t>PartNo</t>
  </si>
  <si>
    <t>t_WARPSynAbolish</t>
  </si>
  <si>
    <t>WARP已同步部品本地废止信息</t>
  </si>
  <si>
    <t>存放的是已被GTMC废止，TMC返回的已同步废止的部品</t>
  </si>
  <si>
    <t>t_SOPChange</t>
  </si>
  <si>
    <t>自支给变更</t>
  </si>
  <si>
    <t>供应商自支给变更信息。
提交自支给变更申请后，应当将供应商报价表（t_Offer）中的是否自支给变更更新为“是”
为以下描述更清晰，先定义两个概念：“次”和“回”。如果供应商自支给变更申请成功了又再变更为其它自支给类型，则称之为新产生一“次”自支给变更申请；如果申请没成功再继续申请，则称之为新产生一“回”自支给变更申请。对于每个车型的每个部品，供应商都可以有多次自支给变更申请，而每次自支给变更申请都可能由若干回的自支给变更申请组成。
1、每次自支给变更是一条独立的记录。
2、由于每次自支给变更可能包含若干个回，而每回所产生的所有讨论和决裁信息都要保留，不能覆盖前一回的，因此只能在记录数上扩展而不能在列数上扩展各回的信息，因此每回自支给变更也会是一条独立的记录。。
3、“自支给变更号”决定了该条记录属于那次自支给变更，而“回号”决定了该条记录是该次自支给变更的第几回。
4、“自支给类型to”即是本次自支给变更所要变更到的类型。第一次变更申请的“自支给类型from”一定是自给，但由于供应商可以有多次变更申请，因此后续次数的变更申请的“自支给类型from”就可能不是自给了。
5、Buyer若审核不通过直接提交合议意见开始合议。合议过程中双方都不必等对方提意见可以连续提意见
6、Buyer可在合议中的任何时候选择通过或驳回
7、自支给变更流程上没有说明变回自给时流程怎么走，但根据“支给涉及到转卖，所以才会有品管审查”这一原则，因此变回为自给时，应该是直接交buyer和各级领导审查就可以了。</t>
  </si>
  <si>
    <t>自支给变更号</t>
  </si>
  <si>
    <t>SOPChangeNo</t>
  </si>
  <si>
    <t>编码规则：'SOP' + YYYYMMDD + 4位流水号</t>
  </si>
  <si>
    <t>回号</t>
  </si>
  <si>
    <t>RoundNo</t>
  </si>
  <si>
    <t>每一次申请第一回的回号都为1，每次决裁被驳回后再申请时回号加1</t>
  </si>
  <si>
    <t>报价书编号</t>
  </si>
  <si>
    <t>OfferNo</t>
  </si>
  <si>
    <t>构成件品番</t>
  </si>
  <si>
    <t>SubPartNo</t>
  </si>
  <si>
    <t>自支给类型from</t>
  </si>
  <si>
    <t>SOPTypeFrom</t>
  </si>
  <si>
    <t>前缀：SOPType</t>
  </si>
  <si>
    <t>自支给类型to</t>
  </si>
  <si>
    <t>SOPTypeTo</t>
  </si>
  <si>
    <t>变更原因附件URL</t>
  </si>
  <si>
    <t>ChangeReasonAtmtURL</t>
  </si>
  <si>
    <t>URL</t>
  </si>
  <si>
    <t>再申请时才会有变更原因</t>
  </si>
  <si>
    <t>前缀：SOPChngStat</t>
  </si>
  <si>
    <t>供应商申请日期</t>
  </si>
  <si>
    <t>SupplierApplyDate</t>
  </si>
  <si>
    <t>供应商申请时间</t>
  </si>
  <si>
    <t>SupplierApplyTime</t>
  </si>
  <si>
    <t>Time</t>
  </si>
  <si>
    <t>Buyer审核日期</t>
  </si>
  <si>
    <t>BuyerCheckDate</t>
  </si>
  <si>
    <t>Buyer审核时间</t>
  </si>
  <si>
    <t>BuyerCheckTime</t>
  </si>
  <si>
    <t>品管</t>
  </si>
  <si>
    <t>QMChgr</t>
  </si>
  <si>
    <t>（员工代码）</t>
  </si>
  <si>
    <t>品管决裁日期</t>
  </si>
  <si>
    <t>QMChgrVerdictDate</t>
  </si>
  <si>
    <t>品管决裁时间</t>
  </si>
  <si>
    <t>QMChgrVerdictTime</t>
  </si>
  <si>
    <t>车担</t>
  </si>
  <si>
    <t>VehChgr</t>
  </si>
  <si>
    <t>车担决裁日期</t>
  </si>
  <si>
    <t>VehChgrVerdictDate</t>
  </si>
  <si>
    <t>车担决裁时间</t>
  </si>
  <si>
    <t>VehChgrVerdictTime</t>
  </si>
  <si>
    <t>中方科长</t>
  </si>
  <si>
    <t>CNChief</t>
  </si>
  <si>
    <t>中方科长决裁日期</t>
  </si>
  <si>
    <t>CNChiefVerdictDate</t>
  </si>
  <si>
    <t>中方科长决裁时间</t>
  </si>
  <si>
    <t>CNChiefVerdictTime</t>
  </si>
  <si>
    <t>日方科长</t>
  </si>
  <si>
    <t>JPChief</t>
  </si>
  <si>
    <t>日方科长决裁日期</t>
  </si>
  <si>
    <t>JPChiefVerdictDate</t>
  </si>
  <si>
    <t>日方科长决裁时间</t>
  </si>
  <si>
    <t>JPChiefVerdictTime</t>
  </si>
  <si>
    <t>中方部长</t>
  </si>
  <si>
    <t>CNMinister</t>
  </si>
  <si>
    <t>中方部长决裁日期</t>
  </si>
  <si>
    <t>CNMinisterVerdictDate</t>
  </si>
  <si>
    <t>中方部长决裁时间</t>
  </si>
  <si>
    <t>CNMinisterVerdictTime</t>
  </si>
  <si>
    <t>日方部长</t>
  </si>
  <si>
    <t>JPMinister</t>
  </si>
  <si>
    <t>日方部长决裁日期</t>
  </si>
  <si>
    <t>JPMinisterVerdictDate</t>
  </si>
  <si>
    <t>日方部长决裁时间</t>
  </si>
  <si>
    <t>JPMinisterVerdictTime</t>
  </si>
  <si>
    <t>否决原因</t>
  </si>
  <si>
    <t>RejectReason</t>
  </si>
  <si>
    <t>t_SOPChangeDiscuss</t>
  </si>
  <si>
    <t>自支给变更合意详情</t>
  </si>
  <si>
    <t>I11</t>
  </si>
  <si>
    <t>合议日期</t>
  </si>
  <si>
    <t>DiscussDate</t>
  </si>
  <si>
    <t>合议时间</t>
  </si>
  <si>
    <t>DiscussTime</t>
  </si>
  <si>
    <t>Buyer意见</t>
  </si>
  <si>
    <t>BuyerOpinion</t>
  </si>
  <si>
    <t>Remark200</t>
  </si>
  <si>
    <t>供应商意见</t>
  </si>
  <si>
    <t>SupplierOpinion</t>
  </si>
  <si>
    <t>t_LimitTime</t>
  </si>
  <si>
    <t>生准L/T</t>
  </si>
  <si>
    <t>供应商生产的各项的开始结束时间</t>
  </si>
  <si>
    <t>供应商部门</t>
  </si>
  <si>
    <t>SplrDpmt</t>
  </si>
  <si>
    <t>生准地点</t>
  </si>
  <si>
    <t>ProduceAddress</t>
  </si>
  <si>
    <t>前缀：ProduceAddress</t>
  </si>
  <si>
    <t>纳入目标</t>
  </si>
  <si>
    <t>AcceptTarget</t>
  </si>
  <si>
    <t>纳入日</t>
  </si>
  <si>
    <t>AcceptDate</t>
  </si>
  <si>
    <t>CAD数据要否</t>
  </si>
  <si>
    <t>IfCADNeeded</t>
  </si>
  <si>
    <t>前缀：IfCADNeeded</t>
  </si>
  <si>
    <t>冲压</t>
  </si>
  <si>
    <t>Stamping</t>
  </si>
  <si>
    <t>供应商担当名称</t>
  </si>
  <si>
    <t>SplrChargerName</t>
  </si>
  <si>
    <t>供应商担当电话</t>
  </si>
  <si>
    <t>SplrChargerTel</t>
  </si>
  <si>
    <t>Tel</t>
  </si>
  <si>
    <t>供应商担当传真</t>
  </si>
  <si>
    <t>SplrChargerFax</t>
  </si>
  <si>
    <t>承认图制作开始周</t>
  </si>
  <si>
    <t>AcceptDrawingBeginWeek</t>
  </si>
  <si>
    <t>WeekNum</t>
  </si>
  <si>
    <t>承认图制作LT周</t>
  </si>
  <si>
    <t>AcceptDrawingLTWeek</t>
  </si>
  <si>
    <t>模具设计开始周</t>
  </si>
  <si>
    <t>ToolDesignBeginWeek</t>
  </si>
  <si>
    <t>模具设计LT周</t>
  </si>
  <si>
    <t>ToolDesignLTWeek</t>
  </si>
  <si>
    <t>MODEL制作开始周</t>
  </si>
  <si>
    <t>ModelMakeBeginWeek</t>
  </si>
  <si>
    <t>MODEL制作LT周</t>
  </si>
  <si>
    <t>ModelMakeLTWeek</t>
  </si>
  <si>
    <t>模具制作开始周</t>
  </si>
  <si>
    <t>ToolMakeBeginWeek</t>
  </si>
  <si>
    <t>模具制作LT周</t>
  </si>
  <si>
    <t>ToolMakeLTWeek</t>
  </si>
  <si>
    <t>试做T0T1开始周</t>
  </si>
  <si>
    <t>TryT0T1BeginWeek</t>
  </si>
  <si>
    <t>试做T0T1LT周</t>
  </si>
  <si>
    <t>TryT0T1LTWeek</t>
  </si>
  <si>
    <t>制品制作开始周</t>
  </si>
  <si>
    <t>ProductionBeginWeek</t>
  </si>
  <si>
    <t>制品制作LT周</t>
  </si>
  <si>
    <t>ProductionLTWeek</t>
  </si>
  <si>
    <t>序号</t>
  </si>
  <si>
    <t>表中文名</t>
  </si>
  <si>
    <t>表英文名</t>
  </si>
  <si>
    <t>链接</t>
  </si>
  <si>
    <t>角色表</t>
  </si>
  <si>
    <t>t_role</t>
  </si>
  <si>
    <t>查看</t>
  </si>
  <si>
    <t>权限表</t>
  </si>
  <si>
    <t>t_privilege</t>
  </si>
  <si>
    <t>角色权限表</t>
  </si>
  <si>
    <t>t_role_privilege</t>
  </si>
  <si>
    <t>管理员角色表</t>
  </si>
  <si>
    <t>t_admin_role</t>
  </si>
  <si>
    <t>管理员信息表</t>
  </si>
  <si>
    <t>t_administrator</t>
  </si>
  <si>
    <t>菜单表</t>
  </si>
  <si>
    <t>t_menu</t>
  </si>
  <si>
    <t>车位锁信息表</t>
  </si>
  <si>
    <t>t_parking_lock</t>
  </si>
  <si>
    <t>地磁信息表</t>
  </si>
  <si>
    <t>t_geomagnetism</t>
  </si>
  <si>
    <t>地磁数据上报日志表</t>
  </si>
  <si>
    <t>t_geo_data_log</t>
  </si>
  <si>
    <t>网关信息表</t>
  </si>
  <si>
    <t>t_gateway</t>
  </si>
  <si>
    <t>停车场信息表</t>
  </si>
  <si>
    <t>t_parking_lot</t>
  </si>
  <si>
    <t>停车场区域表</t>
  </si>
  <si>
    <t>t_parking_lot_area</t>
  </si>
  <si>
    <t>室内地图信息表</t>
  </si>
  <si>
    <t>t_indoor_map</t>
  </si>
  <si>
    <t>车位信息表</t>
  </si>
  <si>
    <t>t_parking</t>
  </si>
  <si>
    <t>车位管理员关联表</t>
  </si>
  <si>
    <t>t_parking_admin</t>
  </si>
  <si>
    <t>车位锁操作记录表</t>
  </si>
  <si>
    <t>t_parking_lock_oplog</t>
  </si>
  <si>
    <t>固定车辆信息表</t>
  </si>
  <si>
    <t>t_whitelist</t>
  </si>
  <si>
    <t>固定车辆缴费记录表</t>
  </si>
  <si>
    <t>t_whitelist_charge</t>
  </si>
  <si>
    <t>收费规则表</t>
  </si>
  <si>
    <t>t_charge_rules</t>
  </si>
  <si>
    <t>停车场收费规则表</t>
  </si>
  <si>
    <t>t_parkinglot_rule</t>
  </si>
  <si>
    <t>包期规则表</t>
  </si>
  <si>
    <t>t_whitelist_rule</t>
  </si>
  <si>
    <t>充值活动信息表</t>
  </si>
  <si>
    <t>t_charge_activity</t>
  </si>
  <si>
    <t>用户充值记录表</t>
  </si>
  <si>
    <t>t_recharge_record</t>
  </si>
  <si>
    <t>用户发票记录表</t>
  </si>
  <si>
    <t>t_invoice</t>
  </si>
  <si>
    <t>开票规则表</t>
  </si>
  <si>
    <t>t_invoice_rule</t>
  </si>
  <si>
    <t>布控车辆信息表</t>
  </si>
  <si>
    <t>t_blacklist</t>
  </si>
  <si>
    <t>用户信息表</t>
  </si>
  <si>
    <t>t_user</t>
  </si>
  <si>
    <t>本地登录表</t>
  </si>
  <si>
    <t>t_user_auth</t>
  </si>
  <si>
    <t>用户微信表</t>
  </si>
  <si>
    <t>t_user_wechat</t>
  </si>
  <si>
    <t>用户车辆列表</t>
  </si>
  <si>
    <t>t_user_car</t>
  </si>
  <si>
    <t>预约记录表</t>
  </si>
  <si>
    <t>t_reservation</t>
  </si>
  <si>
    <t>场内车辆记录表</t>
  </si>
  <si>
    <t>t_parkinglot_car</t>
  </si>
  <si>
    <t>过车记录表</t>
  </si>
  <si>
    <t>t_pass_record</t>
  </si>
  <si>
    <t>订单信息表</t>
  </si>
  <si>
    <t>t_parking_order</t>
  </si>
  <si>
    <t>用户消息记录表</t>
  </si>
  <si>
    <t>t_user_message</t>
  </si>
  <si>
    <t>推送消息记录表</t>
  </si>
  <si>
    <t>t_push_message</t>
  </si>
  <si>
    <t>警告消息记录表</t>
  </si>
  <si>
    <t>t_alarm_message</t>
  </si>
  <si>
    <t>反馈记录表</t>
  </si>
  <si>
    <t>t_advice</t>
  </si>
  <si>
    <t>操作日志表</t>
  </si>
  <si>
    <t>t_op_log</t>
  </si>
  <si>
    <t>甲虫智慧停车系统</t>
  </si>
  <si>
    <t>系统角色表</t>
  </si>
  <si>
    <t>主键ID</t>
  </si>
  <si>
    <t>创建时间</t>
  </si>
  <si>
    <t>createTime</t>
  </si>
  <si>
    <t>修改时间</t>
  </si>
  <si>
    <t>modifyTime</t>
  </si>
  <si>
    <t>权限类型</t>
  </si>
  <si>
    <t>ptype</t>
  </si>
  <si>
    <t>访问路径</t>
  </si>
  <si>
    <t>角色权限关联</t>
  </si>
  <si>
    <t>主键Id</t>
  </si>
  <si>
    <t>关联用户和角色的关系</t>
  </si>
  <si>
    <t>自动递增</t>
  </si>
  <si>
    <t>roleId</t>
  </si>
  <si>
    <t>管理员编号</t>
  </si>
  <si>
    <t>操作人员表,可以用作登录后台账号</t>
  </si>
  <si>
    <t>管理员姓名</t>
  </si>
  <si>
    <t>status</t>
  </si>
  <si>
    <t>前缀：AdminStatus
0:启用 1：未启用
状态为未启用的时候不能登录</t>
  </si>
  <si>
    <t>最近登录时间</t>
  </si>
  <si>
    <t>recentLoginTime</t>
  </si>
  <si>
    <t>极光推送注册id</t>
  </si>
  <si>
    <t>记录菜单。每个功能当成一个菜单，菜单有url属性，用户通过点击菜单来访问对应功能；</t>
  </si>
  <si>
    <t>自增标识</t>
  </si>
  <si>
    <t>父级菜单</t>
  </si>
  <si>
    <t>图标访问路径</t>
  </si>
  <si>
    <t>车位锁的数据来源于Paas平台的不定时上报</t>
  </si>
  <si>
    <t>车位Id</t>
  </si>
  <si>
    <t>前缀：ParkingLockStatus</t>
  </si>
  <si>
    <t>数据更新时间</t>
  </si>
  <si>
    <t>receiveDataTime</t>
  </si>
  <si>
    <t>t_lock_data_log</t>
  </si>
  <si>
    <t>车位锁数据上报日志</t>
  </si>
  <si>
    <t>数据详情</t>
  </si>
  <si>
    <t>data</t>
  </si>
  <si>
    <t>数据来源于Paas平台的不定时上报</t>
  </si>
  <si>
    <t>地磁串号</t>
  </si>
  <si>
    <t>地磁电量</t>
  </si>
  <si>
    <t>前缀：GeoStatus</t>
  </si>
  <si>
    <t>强磁干扰状态</t>
  </si>
  <si>
    <t>smiStatus</t>
  </si>
  <si>
    <t>前缀：SMIStatus</t>
  </si>
  <si>
    <t>carStatus</t>
  </si>
  <si>
    <t>前缀：GeoCarStatus</t>
  </si>
  <si>
    <t>地磁位置</t>
  </si>
  <si>
    <t>数据上报时间</t>
  </si>
  <si>
    <t>网关串号</t>
  </si>
  <si>
    <t>前缀：GatewayStatus
0:在线  1离线</t>
  </si>
  <si>
    <t>状态更新时间</t>
  </si>
  <si>
    <t>updateTime</t>
  </si>
  <si>
    <t>所属停车场名称</t>
  </si>
  <si>
    <t>网关位置</t>
  </si>
  <si>
    <t>parkinglotName</t>
  </si>
  <si>
    <t>停车场位置</t>
  </si>
  <si>
    <t>停车场位置坐标X</t>
  </si>
  <si>
    <t>coordinateX</t>
  </si>
  <si>
    <t>停车场位置坐标Y</t>
  </si>
  <si>
    <t>coordinateY</t>
  </si>
  <si>
    <t>可预约车位数量</t>
  </si>
  <si>
    <t>revatationCount</t>
  </si>
  <si>
    <t>是否可预约</t>
  </si>
  <si>
    <t>isRevatation</t>
  </si>
  <si>
    <t>前缀：YesNoFlg
0:否   1：是</t>
  </si>
  <si>
    <t>是否有室内地图</t>
  </si>
  <si>
    <t>haveMap</t>
  </si>
  <si>
    <t>是否有车位锁</t>
  </si>
  <si>
    <t>haveLock</t>
  </si>
  <si>
    <t>区域名称</t>
  </si>
  <si>
    <t>停车场室内地图信息</t>
  </si>
  <si>
    <t>下载地址</t>
  </si>
  <si>
    <t>地图名称</t>
  </si>
  <si>
    <t>记录每个车位信息</t>
  </si>
  <si>
    <t>与管理员账号关联</t>
  </si>
  <si>
    <t>创建方式</t>
  </si>
  <si>
    <t>createWay</t>
  </si>
  <si>
    <t>前缀：ParkingCreateWay</t>
  </si>
  <si>
    <t>区域</t>
  </si>
  <si>
    <t>areaId</t>
  </si>
  <si>
    <t>X坐标</t>
  </si>
  <si>
    <t>Y坐标</t>
  </si>
  <si>
    <t>前缀：ParkingStatus</t>
  </si>
  <si>
    <t>lockSerialNumber</t>
  </si>
  <si>
    <t>geoSerialNumber</t>
  </si>
  <si>
    <t>室内地图</t>
  </si>
  <si>
    <t>indoorMapId</t>
  </si>
  <si>
    <t>记录车位与管理员的关联，一个管理员可管理多个车位，一个车位也可有多个管理员</t>
  </si>
  <si>
    <t>车位ID</t>
  </si>
  <si>
    <t>管理员ID</t>
  </si>
  <si>
    <t>记录车位锁的操作记录</t>
  </si>
  <si>
    <t>operatorId</t>
  </si>
  <si>
    <t>操作时间</t>
  </si>
  <si>
    <t>opTime</t>
  </si>
  <si>
    <t>操作方式</t>
  </si>
  <si>
    <t>opWay</t>
  </si>
  <si>
    <t>前缀：OPWay
0:后台操作  1：JURA</t>
  </si>
  <si>
    <t>操作类型</t>
  </si>
  <si>
    <t>opType</t>
  </si>
  <si>
    <t>前缀：LockOpType
0升起 1降下</t>
  </si>
  <si>
    <t>车牌号</t>
  </si>
  <si>
    <t>开始时间</t>
  </si>
  <si>
    <t>startDate</t>
  </si>
  <si>
    <t>结束时间</t>
  </si>
  <si>
    <t>endDate</t>
  </si>
  <si>
    <t>分配车位的Id</t>
  </si>
  <si>
    <t>ownerName</t>
  </si>
  <si>
    <t>包期状态</t>
  </si>
  <si>
    <t>前缀：WhitelistStatus</t>
  </si>
  <si>
    <t>固定车辆记录ID</t>
  </si>
  <si>
    <t>whitelistId</t>
  </si>
  <si>
    <t>包期时长(天)</t>
  </si>
  <si>
    <t>是否启用</t>
  </si>
  <si>
    <t>inUse</t>
  </si>
  <si>
    <t>前缀：carType</t>
  </si>
  <si>
    <t>规则类型</t>
  </si>
  <si>
    <t>ruleType</t>
  </si>
  <si>
    <t xml:space="preserve">前缀：ruleType
0：按时计费 </t>
  </si>
  <si>
    <t>单价</t>
  </si>
  <si>
    <t>upLimitFee24</t>
  </si>
  <si>
    <t>upLimitFee12</t>
  </si>
  <si>
    <t>description</t>
  </si>
  <si>
    <t>规则id</t>
  </si>
  <si>
    <t>ruleId</t>
  </si>
  <si>
    <t>停车场id</t>
  </si>
  <si>
    <t>活动开始日期</t>
  </si>
  <si>
    <t>startTime</t>
  </si>
  <si>
    <t>活动结束日期</t>
  </si>
  <si>
    <t>endTime</t>
  </si>
  <si>
    <t>前缀：ActivityStatus</t>
  </si>
  <si>
    <t>rechargeAmount</t>
  </si>
  <si>
    <t>充值时间</t>
  </si>
  <si>
    <t>rechargeTime</t>
  </si>
  <si>
    <t>payWay</t>
  </si>
  <si>
    <t>前缀：PayWay</t>
  </si>
  <si>
    <t>用户ID</t>
  </si>
  <si>
    <t>varchar</t>
  </si>
  <si>
    <t>金额</t>
  </si>
  <si>
    <t>amount</t>
  </si>
  <si>
    <t>运费</t>
  </si>
  <si>
    <t>前缀：Invoice</t>
  </si>
  <si>
    <t>申请时间</t>
  </si>
  <si>
    <t>applyDate</t>
  </si>
  <si>
    <t>开票时间</t>
  </si>
  <si>
    <t>billingDate</t>
  </si>
  <si>
    <t>是否包邮</t>
  </si>
  <si>
    <t>isFreeDelivery</t>
  </si>
  <si>
    <t>操作人员</t>
  </si>
  <si>
    <t>reason</t>
  </si>
  <si>
    <t>用户的信息</t>
  </si>
  <si>
    <t>UUID</t>
  </si>
  <si>
    <t>注册时间</t>
  </si>
  <si>
    <t>registerTime</t>
  </si>
  <si>
    <t>number(11)</t>
  </si>
  <si>
    <t>用户Id</t>
  </si>
  <si>
    <t>用作微信登录，保存微信用户的一些信息</t>
  </si>
  <si>
    <t>nickname</t>
  </si>
  <si>
    <t>wechatAcc</t>
  </si>
  <si>
    <t>同一个用户可以绑定多个车牌，一个车牌也可以被多个用户绑定</t>
  </si>
  <si>
    <t>用户id</t>
  </si>
  <si>
    <t>前缀：carStatus</t>
  </si>
  <si>
    <t>前缀：UserCarType</t>
  </si>
  <si>
    <t>到期时间</t>
  </si>
  <si>
    <t>expireTime</t>
  </si>
  <si>
    <t>前缀：RevatationStatus
0:已预约 1:已使用 2：预约过期 3:取消</t>
  </si>
  <si>
    <t>payStatus</t>
  </si>
  <si>
    <t>前缀：PayStatus
0:已支付 1：未支付</t>
  </si>
  <si>
    <t>支付时间</t>
  </si>
  <si>
    <t>payTime</t>
  </si>
  <si>
    <t>预约时长</t>
  </si>
  <si>
    <t>前缀：payWay
0:支付宝 1：微信 2：现金 3：余额</t>
  </si>
  <si>
    <t>记录停车场内的车辆信息</t>
  </si>
  <si>
    <t>入场时间</t>
  </si>
  <si>
    <t>inTime</t>
  </si>
  <si>
    <t>出场时间</t>
  </si>
  <si>
    <t>outTime</t>
  </si>
  <si>
    <t>车牌图片</t>
  </si>
  <si>
    <t>前缀：carType
0:大型车 1：中型车 2：小型车</t>
  </si>
  <si>
    <t>pType</t>
  </si>
  <si>
    <t>前缀：PType
0:临时停车 1：</t>
  </si>
  <si>
    <t>占用车位</t>
  </si>
  <si>
    <t>停车订单号</t>
  </si>
  <si>
    <t>过车时间</t>
  </si>
  <si>
    <t>passTime</t>
  </si>
  <si>
    <t>进出方向</t>
  </si>
  <si>
    <t>direction</t>
  </si>
  <si>
    <t>前缀：PassDirec</t>
  </si>
  <si>
    <t>如果预约，则预约记录的订单号与该订单号一致</t>
  </si>
  <si>
    <t>车辆进场时间</t>
  </si>
  <si>
    <t>orderStatus</t>
  </si>
  <si>
    <t>前缀：OrderStatus</t>
  </si>
  <si>
    <t>是否免费</t>
  </si>
  <si>
    <t>isFree</t>
  </si>
  <si>
    <t>前缀：FreeOrder</t>
  </si>
  <si>
    <t>免单原因</t>
  </si>
  <si>
    <t>缴费方式</t>
  </si>
  <si>
    <t>orderSource</t>
  </si>
  <si>
    <t>前缀：OrderSource
0:道闸 1：PDA</t>
  </si>
  <si>
    <t>操作员</t>
  </si>
  <si>
    <t>图片路径</t>
  </si>
  <si>
    <t>开票状态</t>
  </si>
  <si>
    <t>orderInvoiceStatus</t>
  </si>
  <si>
    <t>前缀：OrderInvoiceStatus</t>
  </si>
  <si>
    <t>用户</t>
  </si>
  <si>
    <t>推送消息id</t>
  </si>
  <si>
    <t>pushMessageId</t>
  </si>
  <si>
    <t>是否阅读</t>
  </si>
  <si>
    <t>readStatus</t>
  </si>
  <si>
    <t>发布者</t>
  </si>
  <si>
    <t>发布时间</t>
  </si>
  <si>
    <t>车位</t>
  </si>
  <si>
    <t>deviceType</t>
  </si>
  <si>
    <t>前缀：DeviceType
01：车位锁 06：地磁 2：网关</t>
  </si>
  <si>
    <t>故障类型</t>
  </si>
  <si>
    <t>snagType</t>
  </si>
  <si>
    <t xml:space="preserve">前缀：snagType
</t>
  </si>
  <si>
    <t>设备串号</t>
  </si>
  <si>
    <t>故障内容</t>
  </si>
  <si>
    <t>故障发生时间</t>
  </si>
  <si>
    <t>alarmTime</t>
  </si>
  <si>
    <t>处理状态</t>
  </si>
  <si>
    <t>前缀：AlarmHandle</t>
  </si>
  <si>
    <t>处理人</t>
  </si>
  <si>
    <t>handler</t>
  </si>
  <si>
    <t>记录用户的一些使用反馈信息</t>
  </si>
  <si>
    <t>反馈用户</t>
  </si>
  <si>
    <t>反馈时间</t>
  </si>
  <si>
    <t>前缀：FeedbackType</t>
  </si>
  <si>
    <t>反馈内容</t>
  </si>
  <si>
    <t>operateTime</t>
  </si>
  <si>
    <t>操作结果</t>
  </si>
  <si>
    <t>opResult</t>
  </si>
  <si>
    <t>停车场</t>
  </si>
  <si>
    <t>t_system_config</t>
  </si>
  <si>
    <t>系统参数配置表</t>
  </si>
  <si>
    <t>参数名称</t>
  </si>
  <si>
    <t>参数代码</t>
  </si>
  <si>
    <t>参数类型</t>
  </si>
  <si>
    <t>paramType</t>
  </si>
  <si>
    <t>参数值</t>
  </si>
  <si>
    <t>参数描述</t>
  </si>
  <si>
    <t>paramFlag</t>
  </si>
  <si>
    <t>t_pay_log</t>
  </si>
  <si>
    <t>支付记录</t>
  </si>
  <si>
    <t>交易时间</t>
  </si>
  <si>
    <t>tradeTime</t>
  </si>
  <si>
    <t>类型</t>
  </si>
  <si>
    <t>前缀：FeeType</t>
  </si>
  <si>
    <t>交易状态</t>
  </si>
  <si>
    <t>充值记录</t>
  </si>
  <si>
    <t>充值方式</t>
  </si>
  <si>
    <t>chargeAmount</t>
  </si>
  <si>
    <t>到账金额</t>
  </si>
  <si>
    <t>realAmount</t>
  </si>
  <si>
    <t>是否优惠</t>
  </si>
  <si>
    <t>isDiscount</t>
  </si>
  <si>
    <t>充值订单号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</si>
</sst>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</numFmts>
  <fonts count="28">
    <font>
      <sz val="11"/>
      <color theme="1"/>
      <name val="宋体"/>
      <charset val="134"/>
      <scheme val="minor"/>
    </font>
    <font>
      <sz val="9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u/>
      <sz val="9"/>
      <color rgb="FF800080"/>
      <name val="宋体"/>
      <charset val="134"/>
      <scheme val="minor"/>
    </font>
    <font>
      <u/>
      <sz val="9"/>
      <color theme="10"/>
      <name val="宋体"/>
      <charset val="134"/>
      <scheme val="minor"/>
    </font>
    <font>
      <strike/>
      <sz val="9"/>
      <color theme="1"/>
      <name val="宋体"/>
      <charset val="134"/>
      <scheme val="minor"/>
    </font>
    <font>
      <sz val="9"/>
      <name val="宋体"/>
      <charset val="134"/>
      <scheme val="minor"/>
    </font>
    <font>
      <sz val="9"/>
      <color indexed="9"/>
      <name val="宋体"/>
      <charset val="134"/>
      <scheme val="minor"/>
    </font>
    <font>
      <sz val="11"/>
      <color theme="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theme="10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sz val="9"/>
      <name val="ＭＳ 明朝"/>
      <charset val="134"/>
    </font>
    <font>
      <b/>
      <sz val="11"/>
      <color theme="1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5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5" fillId="24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25" borderId="8" applyNumberFormat="0" applyFont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1" fillId="0" borderId="10" applyNumberFormat="0" applyFill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9" fillId="0" borderId="9" applyNumberFormat="0" applyFill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12" fillId="13" borderId="6" applyNumberFormat="0" applyAlignment="0" applyProtection="0">
      <alignment vertical="center"/>
    </xf>
    <xf numFmtId="0" fontId="13" fillId="13" borderId="7" applyNumberFormat="0" applyAlignment="0" applyProtection="0">
      <alignment vertical="center"/>
    </xf>
    <xf numFmtId="0" fontId="25" fillId="33" borderId="12" applyNumberFormat="0" applyAlignment="0" applyProtection="0">
      <alignment vertical="center"/>
    </xf>
    <xf numFmtId="0" fontId="26" fillId="0" borderId="0"/>
    <xf numFmtId="0" fontId="11" fillId="22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7" fillId="0" borderId="13" applyNumberFormat="0" applyFill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0" fillId="0" borderId="0">
      <alignment vertical="center"/>
    </xf>
    <xf numFmtId="0" fontId="11" fillId="1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1" fillId="0" borderId="2" xfId="0" applyFont="1" applyFill="1" applyBorder="1" applyAlignment="1">
      <alignment vertical="center"/>
    </xf>
    <xf numFmtId="0" fontId="1" fillId="0" borderId="3" xfId="0" applyFont="1" applyFill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 wrapText="1"/>
    </xf>
    <xf numFmtId="0" fontId="3" fillId="0" borderId="0" xfId="10" applyFont="1" applyAlignment="1">
      <alignment horizontal="center" vertical="center"/>
    </xf>
    <xf numFmtId="0" fontId="1" fillId="3" borderId="0" xfId="0" applyFont="1" applyFill="1" applyAlignment="1">
      <alignment vertical="center" wrapText="1"/>
    </xf>
    <xf numFmtId="0" fontId="1" fillId="0" borderId="4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0" fontId="4" fillId="0" borderId="0" xfId="1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NumberFormat="1" applyFont="1" applyAlignment="1">
      <alignment horizontal="center" vertical="center"/>
    </xf>
    <xf numFmtId="0" fontId="1" fillId="0" borderId="0" xfId="0" applyNumberFormat="1" applyFont="1">
      <alignment vertical="center"/>
    </xf>
    <xf numFmtId="0" fontId="5" fillId="0" borderId="0" xfId="0" applyNumberFormat="1" applyFont="1" applyAlignment="1">
      <alignment horizontal="center" vertical="center"/>
    </xf>
    <xf numFmtId="0" fontId="5" fillId="0" borderId="0" xfId="0" applyNumberFormat="1" applyFont="1">
      <alignment vertical="center"/>
    </xf>
    <xf numFmtId="0" fontId="5" fillId="0" borderId="0" xfId="0" applyNumberFormat="1" applyFont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1" fillId="0" borderId="1" xfId="0" applyFont="1" applyFill="1" applyBorder="1" applyAlignment="1">
      <alignment vertical="center"/>
    </xf>
    <xf numFmtId="0" fontId="1" fillId="0" borderId="1" xfId="0" applyFont="1" applyFill="1" applyBorder="1" applyAlignment="1">
      <alignment vertical="center" wrapText="1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 wrapText="1"/>
    </xf>
    <xf numFmtId="0" fontId="6" fillId="0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0" fontId="1" fillId="2" borderId="5" xfId="0" applyFont="1" applyFill="1" applyBorder="1" applyAlignment="1">
      <alignment horizontal="center" vertical="center"/>
    </xf>
    <xf numFmtId="0" fontId="1" fillId="0" borderId="0" xfId="0" applyFont="1" quotePrefix="1">
      <alignment vertical="center"/>
    </xf>
    <xf numFmtId="0" fontId="1" fillId="0" borderId="0" xfId="0" applyFont="1" applyFill="1" applyAlignment="1" quotePrefix="1">
      <alignment horizontal="center" vertical="center"/>
    </xf>
    <xf numFmtId="0" fontId="1" fillId="0" borderId="0" xfId="0" applyFont="1" applyFill="1" applyAlignment="1" quotePrefix="1">
      <alignment vertical="center"/>
    </xf>
  </cellXfs>
  <cellStyles count="55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標準_Table_数据库一览表1" xfId="27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强调文字颜色 4" xfId="41" builtinId="41"/>
    <cellStyle name="20% - 强调文字颜色 4" xfId="42" builtinId="42"/>
    <cellStyle name="Normal 2" xfId="43"/>
    <cellStyle name="40% - 强调文字颜色 4" xfId="44" builtinId="43"/>
    <cellStyle name="强调文字颜色 5" xfId="45" builtinId="45"/>
    <cellStyle name="40% - 强调文字颜色 5" xfId="46" builtinId="47"/>
    <cellStyle name="60% - 强调文字颜色 5" xfId="47" builtinId="48"/>
    <cellStyle name="强调文字颜色 6" xfId="48" builtinId="49"/>
    <cellStyle name="40% - 强调文字颜色 6" xfId="49" builtinId="51"/>
    <cellStyle name="60% - 强调文字颜色 6" xfId="50" builtinId="52"/>
    <cellStyle name="常规 2" xfId="51"/>
    <cellStyle name="常规 3" xfId="52"/>
    <cellStyle name="常规 4" xfId="53"/>
    <cellStyle name="常规 5" xfId="54"/>
  </cellStyles>
  <tableStyles count="0" defaultTableStyle="TableStyleMedium2"/>
  <colors>
    <mruColors>
      <color rgb="00CCFFCC"/>
    </mruColors>
  </colors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5" Type="http://schemas.microsoft.com/office/2006/relationships/vbaProject" Target="vbaProject.bin"/><Relationship Id="rId64" Type="http://schemas.openxmlformats.org/officeDocument/2006/relationships/sharedStrings" Target="sharedStrings.xml"/><Relationship Id="rId63" Type="http://schemas.openxmlformats.org/officeDocument/2006/relationships/styles" Target="styles.xml"/><Relationship Id="rId62" Type="http://schemas.openxmlformats.org/officeDocument/2006/relationships/theme" Target="theme/theme1.xml"/><Relationship Id="rId61" Type="http://schemas.openxmlformats.org/officeDocument/2006/relationships/worksheet" Target="worksheets/sheet61.xml"/><Relationship Id="rId60" Type="http://schemas.openxmlformats.org/officeDocument/2006/relationships/worksheet" Target="worksheets/sheet60.xml"/><Relationship Id="rId6" Type="http://schemas.openxmlformats.org/officeDocument/2006/relationships/worksheet" Target="worksheets/sheet6.xml"/><Relationship Id="rId59" Type="http://schemas.openxmlformats.org/officeDocument/2006/relationships/worksheet" Target="worksheets/sheet59.xml"/><Relationship Id="rId58" Type="http://schemas.openxmlformats.org/officeDocument/2006/relationships/worksheet" Target="worksheets/sheet58.xml"/><Relationship Id="rId57" Type="http://schemas.openxmlformats.org/officeDocument/2006/relationships/worksheet" Target="worksheets/sheet57.xml"/><Relationship Id="rId56" Type="http://schemas.openxmlformats.org/officeDocument/2006/relationships/worksheet" Target="worksheets/sheet56.xml"/><Relationship Id="rId55" Type="http://schemas.openxmlformats.org/officeDocument/2006/relationships/worksheet" Target="worksheets/sheet55.xml"/><Relationship Id="rId54" Type="http://schemas.openxmlformats.org/officeDocument/2006/relationships/worksheet" Target="worksheets/sheet54.xml"/><Relationship Id="rId53" Type="http://schemas.openxmlformats.org/officeDocument/2006/relationships/worksheet" Target="worksheets/sheet53.xml"/><Relationship Id="rId52" Type="http://schemas.openxmlformats.org/officeDocument/2006/relationships/worksheet" Target="worksheets/sheet52.xml"/><Relationship Id="rId51" Type="http://schemas.openxmlformats.org/officeDocument/2006/relationships/worksheet" Target="worksheets/sheet51.xml"/><Relationship Id="rId50" Type="http://schemas.openxmlformats.org/officeDocument/2006/relationships/worksheet" Target="worksheets/sheet50.xml"/><Relationship Id="rId5" Type="http://schemas.openxmlformats.org/officeDocument/2006/relationships/worksheet" Target="worksheets/sheet5.xml"/><Relationship Id="rId49" Type="http://schemas.openxmlformats.org/officeDocument/2006/relationships/worksheet" Target="worksheets/sheet49.xml"/><Relationship Id="rId48" Type="http://schemas.openxmlformats.org/officeDocument/2006/relationships/worksheet" Target="worksheets/sheet48.xml"/><Relationship Id="rId47" Type="http://schemas.openxmlformats.org/officeDocument/2006/relationships/worksheet" Target="worksheets/sheet47.xml"/><Relationship Id="rId46" Type="http://schemas.openxmlformats.org/officeDocument/2006/relationships/worksheet" Target="worksheets/sheet46.xml"/><Relationship Id="rId45" Type="http://schemas.openxmlformats.org/officeDocument/2006/relationships/worksheet" Target="worksheets/sheet45.xml"/><Relationship Id="rId44" Type="http://schemas.openxmlformats.org/officeDocument/2006/relationships/worksheet" Target="worksheets/sheet44.xml"/><Relationship Id="rId43" Type="http://schemas.openxmlformats.org/officeDocument/2006/relationships/worksheet" Target="worksheets/sheet43.xml"/><Relationship Id="rId42" Type="http://schemas.openxmlformats.org/officeDocument/2006/relationships/worksheet" Target="worksheets/sheet42.xml"/><Relationship Id="rId41" Type="http://schemas.openxmlformats.org/officeDocument/2006/relationships/worksheet" Target="worksheets/sheet41.xml"/><Relationship Id="rId40" Type="http://schemas.openxmlformats.org/officeDocument/2006/relationships/worksheet" Target="worksheets/sheet40.xml"/><Relationship Id="rId4" Type="http://schemas.openxmlformats.org/officeDocument/2006/relationships/worksheet" Target="worksheets/sheet4.xml"/><Relationship Id="rId39" Type="http://schemas.openxmlformats.org/officeDocument/2006/relationships/worksheet" Target="worksheets/sheet39.xml"/><Relationship Id="rId38" Type="http://schemas.openxmlformats.org/officeDocument/2006/relationships/worksheet" Target="worksheets/sheet38.xml"/><Relationship Id="rId37" Type="http://schemas.openxmlformats.org/officeDocument/2006/relationships/worksheet" Target="worksheets/sheet37.xml"/><Relationship Id="rId36" Type="http://schemas.openxmlformats.org/officeDocument/2006/relationships/worksheet" Target="worksheets/sheet36.xml"/><Relationship Id="rId35" Type="http://schemas.openxmlformats.org/officeDocument/2006/relationships/worksheet" Target="worksheets/sheet35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comments" Target="../comments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comments" Target="../comments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comments" Target="../comments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comments" Target="../comments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comments" Target="../comments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comments" Target="../comments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comments" Target="../comments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/><Relationship Id="rId1" Type="http://schemas.openxmlformats.org/officeDocument/2006/relationships/comments" Target="../comments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comments" Target="../comments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9.vml"/><Relationship Id="rId1" Type="http://schemas.openxmlformats.org/officeDocument/2006/relationships/comments" Target="../comments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comments" Target="../comments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1.vml"/><Relationship Id="rId1" Type="http://schemas.openxmlformats.org/officeDocument/2006/relationships/comments" Target="../comments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2.vml"/><Relationship Id="rId1" Type="http://schemas.openxmlformats.org/officeDocument/2006/relationships/comments" Target="../comments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3.vml"/><Relationship Id="rId1" Type="http://schemas.openxmlformats.org/officeDocument/2006/relationships/comments" Target="../comments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4.vml"/><Relationship Id="rId1" Type="http://schemas.openxmlformats.org/officeDocument/2006/relationships/comments" Target="../comments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5.vml"/><Relationship Id="rId1" Type="http://schemas.openxmlformats.org/officeDocument/2006/relationships/comments" Target="../comments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6.vml"/><Relationship Id="rId1" Type="http://schemas.openxmlformats.org/officeDocument/2006/relationships/comments" Target="../comments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7.vml"/><Relationship Id="rId1" Type="http://schemas.openxmlformats.org/officeDocument/2006/relationships/comments" Target="../comments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8.vml"/><Relationship Id="rId1" Type="http://schemas.openxmlformats.org/officeDocument/2006/relationships/comments" Target="../comments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9.vml"/><Relationship Id="rId1" Type="http://schemas.openxmlformats.org/officeDocument/2006/relationships/comments" Target="../comments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0.vml"/><Relationship Id="rId1" Type="http://schemas.openxmlformats.org/officeDocument/2006/relationships/comments" Target="../comments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1.vml"/><Relationship Id="rId1" Type="http://schemas.openxmlformats.org/officeDocument/2006/relationships/comments" Target="../comments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2.vml"/><Relationship Id="rId1" Type="http://schemas.openxmlformats.org/officeDocument/2006/relationships/comments" Target="../comments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3.vml"/><Relationship Id="rId1" Type="http://schemas.openxmlformats.org/officeDocument/2006/relationships/comments" Target="../comments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4.vml"/><Relationship Id="rId1" Type="http://schemas.openxmlformats.org/officeDocument/2006/relationships/comments" Target="../comments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5.vml"/><Relationship Id="rId1" Type="http://schemas.openxmlformats.org/officeDocument/2006/relationships/comments" Target="../comments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6.vml"/><Relationship Id="rId1" Type="http://schemas.openxmlformats.org/officeDocument/2006/relationships/comments" Target="../comments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7.vml"/><Relationship Id="rId1" Type="http://schemas.openxmlformats.org/officeDocument/2006/relationships/comments" Target="../comments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8.vml"/><Relationship Id="rId1" Type="http://schemas.openxmlformats.org/officeDocument/2006/relationships/comments" Target="../comments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9.vml"/><Relationship Id="rId1" Type="http://schemas.openxmlformats.org/officeDocument/2006/relationships/comments" Target="../comments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0.vml"/><Relationship Id="rId1" Type="http://schemas.openxmlformats.org/officeDocument/2006/relationships/comments" Target="../comments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1.vml"/><Relationship Id="rId1" Type="http://schemas.openxmlformats.org/officeDocument/2006/relationships/comments" Target="../comments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2.vml"/><Relationship Id="rId1" Type="http://schemas.openxmlformats.org/officeDocument/2006/relationships/comments" Target="../comments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3.vml"/><Relationship Id="rId1" Type="http://schemas.openxmlformats.org/officeDocument/2006/relationships/comments" Target="../comments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4.vml"/><Relationship Id="rId1" Type="http://schemas.openxmlformats.org/officeDocument/2006/relationships/comments" Target="../comments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5.vml"/><Relationship Id="rId1" Type="http://schemas.openxmlformats.org/officeDocument/2006/relationships/comments" Target="../comments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6.vml"/><Relationship Id="rId1" Type="http://schemas.openxmlformats.org/officeDocument/2006/relationships/comments" Target="../comments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7.vml"/><Relationship Id="rId1" Type="http://schemas.openxmlformats.org/officeDocument/2006/relationships/comments" Target="../comments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8.vml"/><Relationship Id="rId1" Type="http://schemas.openxmlformats.org/officeDocument/2006/relationships/comments" Target="../comments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9.vml"/><Relationship Id="rId1" Type="http://schemas.openxmlformats.org/officeDocument/2006/relationships/comments" Target="../comments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0.vml"/><Relationship Id="rId1" Type="http://schemas.openxmlformats.org/officeDocument/2006/relationships/comments" Target="../comments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1.vml"/><Relationship Id="rId1" Type="http://schemas.openxmlformats.org/officeDocument/2006/relationships/comments" Target="../comments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2.vml"/><Relationship Id="rId1" Type="http://schemas.openxmlformats.org/officeDocument/2006/relationships/comments" Target="../comments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3.vml"/><Relationship Id="rId1" Type="http://schemas.openxmlformats.org/officeDocument/2006/relationships/comments" Target="../comments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4.vml"/><Relationship Id="rId1" Type="http://schemas.openxmlformats.org/officeDocument/2006/relationships/comments" Target="../comments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5.vml"/><Relationship Id="rId1" Type="http://schemas.openxmlformats.org/officeDocument/2006/relationships/comments" Target="../comments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6.vml"/><Relationship Id="rId1" Type="http://schemas.openxmlformats.org/officeDocument/2006/relationships/comments" Target="../comments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7.vml"/><Relationship Id="rId1" Type="http://schemas.openxmlformats.org/officeDocument/2006/relationships/comments" Target="../comments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8.vml"/><Relationship Id="rId1" Type="http://schemas.openxmlformats.org/officeDocument/2006/relationships/comments" Target="../comments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9.vml"/><Relationship Id="rId1" Type="http://schemas.openxmlformats.org/officeDocument/2006/relationships/comments" Target="../comments5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G115"/>
  <sheetViews>
    <sheetView workbookViewId="0">
      <pane ySplit="1" topLeftCell="A55" activePane="bottomLeft" state="frozen"/>
      <selection/>
      <selection pane="bottomLeft" activeCell="A55" sqref="A55"/>
    </sheetView>
  </sheetViews>
  <sheetFormatPr defaultColWidth="9" defaultRowHeight="11.25" outlineLevelCol="6"/>
  <cols>
    <col min="1" max="1" width="17.25" style="2" customWidth="1"/>
    <col min="2" max="2" width="11.375" style="2" customWidth="1"/>
    <col min="3" max="3" width="47.125" style="2" customWidth="1"/>
    <col min="4" max="4" width="9" style="2"/>
    <col min="5" max="5" width="9.625" style="2" customWidth="1"/>
    <col min="6" max="6" width="10.375" style="2" customWidth="1"/>
    <col min="7" max="16384" width="9" style="2"/>
  </cols>
  <sheetData>
    <row r="1" s="1" customFormat="1" spans="1:3">
      <c r="A1" s="36" t="s">
        <v>0</v>
      </c>
      <c r="B1" s="36" t="s">
        <v>1</v>
      </c>
      <c r="C1" s="36" t="s">
        <v>2</v>
      </c>
    </row>
    <row r="2" s="20" customFormat="1" spans="1:3">
      <c r="A2" s="19" t="s">
        <v>3</v>
      </c>
      <c r="B2" s="19" t="s">
        <v>4</v>
      </c>
      <c r="C2" s="2"/>
    </row>
    <row r="3" s="20" customFormat="1" spans="1:3">
      <c r="A3" s="19" t="s">
        <v>5</v>
      </c>
      <c r="B3" s="2" t="s">
        <v>6</v>
      </c>
      <c r="C3" s="2"/>
    </row>
    <row r="4" s="20" customFormat="1" spans="1:3">
      <c r="A4" s="19" t="s">
        <v>7</v>
      </c>
      <c r="B4" s="19" t="s">
        <v>4</v>
      </c>
      <c r="C4" s="2" t="s">
        <v>8</v>
      </c>
    </row>
    <row r="5" s="20" customFormat="1" spans="1:3">
      <c r="A5" s="19" t="s">
        <v>9</v>
      </c>
      <c r="B5" s="19" t="s">
        <v>10</v>
      </c>
      <c r="C5" s="2" t="s">
        <v>11</v>
      </c>
    </row>
    <row r="6" s="20" customFormat="1" spans="1:3">
      <c r="A6" s="19" t="s">
        <v>12</v>
      </c>
      <c r="B6" s="19" t="s">
        <v>4</v>
      </c>
      <c r="C6" s="2" t="s">
        <v>13</v>
      </c>
    </row>
    <row r="7" s="20" customFormat="1" spans="1:3">
      <c r="A7" s="19" t="s">
        <v>14</v>
      </c>
      <c r="B7" s="19" t="s">
        <v>14</v>
      </c>
      <c r="C7" s="2" t="s">
        <v>15</v>
      </c>
    </row>
    <row r="8" s="20" customFormat="1" spans="1:3">
      <c r="A8" s="19" t="s">
        <v>16</v>
      </c>
      <c r="B8" s="19" t="s">
        <v>4</v>
      </c>
      <c r="C8" s="2" t="s">
        <v>17</v>
      </c>
    </row>
    <row r="9" s="20" customFormat="1" spans="1:6">
      <c r="A9" s="19" t="s">
        <v>18</v>
      </c>
      <c r="B9" s="19" t="s">
        <v>10</v>
      </c>
      <c r="C9" s="2" t="s">
        <v>19</v>
      </c>
      <c r="E9" s="2"/>
      <c r="F9" s="2"/>
    </row>
    <row r="10" spans="1:3">
      <c r="A10" s="19" t="s">
        <v>20</v>
      </c>
      <c r="B10" s="19" t="s">
        <v>21</v>
      </c>
      <c r="C10" s="2" t="s">
        <v>22</v>
      </c>
    </row>
    <row r="11" spans="1:3">
      <c r="A11" s="19" t="s">
        <v>23</v>
      </c>
      <c r="B11" s="19" t="s">
        <v>4</v>
      </c>
      <c r="C11" s="2" t="s">
        <v>24</v>
      </c>
    </row>
    <row r="12" s="20" customFormat="1" spans="1:7">
      <c r="A12" s="19" t="s">
        <v>25</v>
      </c>
      <c r="B12" s="19" t="s">
        <v>10</v>
      </c>
      <c r="C12" s="2" t="s">
        <v>26</v>
      </c>
      <c r="E12" s="2"/>
      <c r="F12" s="2"/>
      <c r="G12" s="2"/>
    </row>
    <row r="13" s="20" customFormat="1" spans="1:7">
      <c r="A13" s="19" t="s">
        <v>27</v>
      </c>
      <c r="B13" s="19" t="s">
        <v>10</v>
      </c>
      <c r="C13" s="2" t="s">
        <v>28</v>
      </c>
      <c r="E13" s="19"/>
      <c r="F13" s="2"/>
      <c r="G13" s="2"/>
    </row>
    <row r="14" s="20" customFormat="1" spans="1:7">
      <c r="A14" s="2" t="s">
        <v>29</v>
      </c>
      <c r="B14" s="2" t="s">
        <v>4</v>
      </c>
      <c r="C14" s="2" t="s">
        <v>30</v>
      </c>
      <c r="E14" s="19"/>
      <c r="F14" s="2"/>
      <c r="G14" s="2"/>
    </row>
    <row r="15" s="20" customFormat="1" spans="1:7">
      <c r="A15" s="2" t="s">
        <v>31</v>
      </c>
      <c r="B15" s="2" t="s">
        <v>6</v>
      </c>
      <c r="C15" s="2" t="s">
        <v>32</v>
      </c>
      <c r="E15" s="19"/>
      <c r="F15" s="2"/>
      <c r="G15" s="2"/>
    </row>
    <row r="16" s="20" customFormat="1" spans="1:7">
      <c r="A16" s="2" t="s">
        <v>33</v>
      </c>
      <c r="B16" s="2" t="s">
        <v>34</v>
      </c>
      <c r="C16" s="2" t="s">
        <v>35</v>
      </c>
      <c r="E16" s="2"/>
      <c r="F16" s="2"/>
      <c r="G16" s="2"/>
    </row>
    <row r="17" spans="1:3">
      <c r="A17" s="37" t="s">
        <v>36</v>
      </c>
      <c r="B17" s="2" t="s">
        <v>37</v>
      </c>
      <c r="C17" s="2" t="s">
        <v>38</v>
      </c>
    </row>
    <row r="18" spans="1:3">
      <c r="A18" s="2" t="s">
        <v>39</v>
      </c>
      <c r="B18" s="2" t="s">
        <v>6</v>
      </c>
      <c r="C18" s="2" t="s">
        <v>40</v>
      </c>
    </row>
    <row r="19" spans="1:3">
      <c r="A19" s="2" t="s">
        <v>41</v>
      </c>
      <c r="B19" s="2" t="s">
        <v>6</v>
      </c>
      <c r="C19" s="2" t="s">
        <v>42</v>
      </c>
    </row>
    <row r="20" spans="1:3">
      <c r="A20" s="2" t="s">
        <v>43</v>
      </c>
      <c r="B20" s="2" t="s">
        <v>4</v>
      </c>
      <c r="C20" s="2" t="s">
        <v>44</v>
      </c>
    </row>
    <row r="21" spans="1:3">
      <c r="A21" s="2" t="s">
        <v>45</v>
      </c>
      <c r="B21" s="2" t="s">
        <v>10</v>
      </c>
      <c r="C21" s="2" t="s">
        <v>46</v>
      </c>
    </row>
    <row r="22" spans="1:3">
      <c r="A22" s="2" t="s">
        <v>47</v>
      </c>
      <c r="B22" s="2" t="s">
        <v>48</v>
      </c>
      <c r="C22" s="2" t="s">
        <v>49</v>
      </c>
    </row>
    <row r="23" ht="13.5" spans="1:3">
      <c r="A23" s="2" t="s">
        <v>50</v>
      </c>
      <c r="B23" s="2" t="s">
        <v>6</v>
      </c>
      <c r="C23" t="s">
        <v>51</v>
      </c>
    </row>
    <row r="24" ht="13.5" spans="1:3">
      <c r="A24" s="2" t="s">
        <v>52</v>
      </c>
      <c r="B24" s="2" t="s">
        <v>4</v>
      </c>
      <c r="C24" t="s">
        <v>53</v>
      </c>
    </row>
    <row r="25" spans="1:3">
      <c r="A25" s="2" t="s">
        <v>54</v>
      </c>
      <c r="B25" s="2" t="s">
        <v>4</v>
      </c>
      <c r="C25" s="2" t="s">
        <v>55</v>
      </c>
    </row>
    <row r="26" spans="1:3">
      <c r="A26" s="2" t="s">
        <v>56</v>
      </c>
      <c r="B26" s="2" t="s">
        <v>57</v>
      </c>
      <c r="C26" s="2" t="s">
        <v>58</v>
      </c>
    </row>
    <row r="27" spans="1:3">
      <c r="A27" s="2" t="s">
        <v>59</v>
      </c>
      <c r="B27" s="2" t="s">
        <v>57</v>
      </c>
      <c r="C27" s="2" t="s">
        <v>60</v>
      </c>
    </row>
    <row r="28" spans="1:3">
      <c r="A28" s="2" t="s">
        <v>56</v>
      </c>
      <c r="B28" s="2" t="s">
        <v>6</v>
      </c>
      <c r="C28" s="2" t="s">
        <v>61</v>
      </c>
    </row>
    <row r="29" spans="1:3">
      <c r="A29" s="2" t="s">
        <v>62</v>
      </c>
      <c r="B29" s="2" t="s">
        <v>6</v>
      </c>
      <c r="C29" s="2" t="s">
        <v>63</v>
      </c>
    </row>
    <row r="30" spans="1:3">
      <c r="A30" s="2" t="s">
        <v>64</v>
      </c>
      <c r="B30" s="2" t="s">
        <v>6</v>
      </c>
      <c r="C30" s="2" t="s">
        <v>65</v>
      </c>
    </row>
    <row r="31" spans="1:3">
      <c r="A31" s="2" t="s">
        <v>66</v>
      </c>
      <c r="B31" s="2" t="s">
        <v>4</v>
      </c>
      <c r="C31" s="2" t="s">
        <v>67</v>
      </c>
    </row>
    <row r="32" spans="1:3">
      <c r="A32" s="2" t="s">
        <v>68</v>
      </c>
      <c r="B32" s="2" t="s">
        <v>69</v>
      </c>
      <c r="C32" s="2" t="s">
        <v>2</v>
      </c>
    </row>
    <row r="33" spans="1:3">
      <c r="A33" s="2" t="s">
        <v>70</v>
      </c>
      <c r="B33" s="2" t="s">
        <v>4</v>
      </c>
      <c r="C33" s="2" t="s">
        <v>71</v>
      </c>
    </row>
    <row r="34" spans="1:3">
      <c r="A34" s="2" t="s">
        <v>72</v>
      </c>
      <c r="B34" s="2" t="s">
        <v>10</v>
      </c>
      <c r="C34" s="2" t="s">
        <v>73</v>
      </c>
    </row>
    <row r="35" spans="1:5">
      <c r="A35" s="2" t="s">
        <v>74</v>
      </c>
      <c r="B35" s="2" t="s">
        <v>4</v>
      </c>
      <c r="C35" s="2" t="s">
        <v>75</v>
      </c>
      <c r="E35" s="19"/>
    </row>
    <row r="36" spans="1:3">
      <c r="A36" s="2" t="s">
        <v>76</v>
      </c>
      <c r="B36" s="2" t="s">
        <v>4</v>
      </c>
      <c r="C36" s="2" t="s">
        <v>77</v>
      </c>
    </row>
    <row r="37" spans="1:3">
      <c r="A37" s="2" t="s">
        <v>78</v>
      </c>
      <c r="B37" s="2" t="s">
        <v>4</v>
      </c>
      <c r="C37" s="2" t="s">
        <v>79</v>
      </c>
    </row>
    <row r="38" spans="1:3">
      <c r="A38" s="2" t="s">
        <v>80</v>
      </c>
      <c r="B38" s="2" t="s">
        <v>81</v>
      </c>
      <c r="C38" s="2" t="s">
        <v>82</v>
      </c>
    </row>
    <row r="39" spans="1:3">
      <c r="A39" s="2" t="s">
        <v>83</v>
      </c>
      <c r="B39" s="2" t="s">
        <v>81</v>
      </c>
      <c r="C39" s="2" t="s">
        <v>84</v>
      </c>
    </row>
    <row r="40" spans="1:3">
      <c r="A40" s="2" t="s">
        <v>85</v>
      </c>
      <c r="B40" s="2" t="s">
        <v>81</v>
      </c>
      <c r="C40" s="2" t="s">
        <v>86</v>
      </c>
    </row>
    <row r="41" spans="1:3">
      <c r="A41" s="2" t="s">
        <v>87</v>
      </c>
      <c r="B41" s="2" t="s">
        <v>57</v>
      </c>
      <c r="C41" s="2" t="s">
        <v>88</v>
      </c>
    </row>
    <row r="42" spans="1:3">
      <c r="A42" s="2" t="s">
        <v>41</v>
      </c>
      <c r="B42" s="2" t="s">
        <v>6</v>
      </c>
      <c r="C42" s="2" t="s">
        <v>89</v>
      </c>
    </row>
    <row r="43" spans="1:3">
      <c r="A43" s="2" t="s">
        <v>90</v>
      </c>
      <c r="B43" s="2" t="s">
        <v>4</v>
      </c>
      <c r="C43" s="2" t="s">
        <v>91</v>
      </c>
    </row>
    <row r="44" spans="1:3">
      <c r="A44" s="2" t="s">
        <v>92</v>
      </c>
      <c r="B44" s="2" t="s">
        <v>57</v>
      </c>
      <c r="C44" s="2" t="s">
        <v>93</v>
      </c>
    </row>
    <row r="45" spans="1:2">
      <c r="A45" s="37" t="s">
        <v>94</v>
      </c>
      <c r="B45" s="2" t="s">
        <v>95</v>
      </c>
    </row>
    <row r="46" spans="1:3">
      <c r="A46" s="2" t="s">
        <v>96</v>
      </c>
      <c r="B46" s="2" t="s">
        <v>81</v>
      </c>
      <c r="C46" s="2" t="s">
        <v>97</v>
      </c>
    </row>
    <row r="47" spans="1:3">
      <c r="A47" s="2" t="s">
        <v>98</v>
      </c>
      <c r="B47" s="2" t="s">
        <v>99</v>
      </c>
      <c r="C47" s="2" t="s">
        <v>100</v>
      </c>
    </row>
    <row r="48" spans="1:3">
      <c r="A48" s="2" t="s">
        <v>101</v>
      </c>
      <c r="B48" s="2" t="s">
        <v>81</v>
      </c>
      <c r="C48" s="2" t="s">
        <v>102</v>
      </c>
    </row>
    <row r="49" spans="1:3">
      <c r="A49" s="2" t="s">
        <v>103</v>
      </c>
      <c r="B49" s="2" t="s">
        <v>99</v>
      </c>
      <c r="C49" s="2" t="s">
        <v>104</v>
      </c>
    </row>
    <row r="50" spans="1:3">
      <c r="A50" s="2" t="s">
        <v>105</v>
      </c>
      <c r="B50" s="2" t="s">
        <v>99</v>
      </c>
      <c r="C50" s="2" t="s">
        <v>106</v>
      </c>
    </row>
    <row r="51" spans="1:3">
      <c r="A51" s="2" t="s">
        <v>107</v>
      </c>
      <c r="B51" s="2" t="s">
        <v>99</v>
      </c>
      <c r="C51" s="2" t="s">
        <v>108</v>
      </c>
    </row>
    <row r="52" spans="1:3">
      <c r="A52" s="2" t="s">
        <v>109</v>
      </c>
      <c r="B52" s="2" t="s">
        <v>69</v>
      </c>
      <c r="C52" s="2" t="s">
        <v>110</v>
      </c>
    </row>
    <row r="53" spans="1:3">
      <c r="A53" s="2" t="s">
        <v>111</v>
      </c>
      <c r="B53" s="2" t="s">
        <v>6</v>
      </c>
      <c r="C53" s="2" t="s">
        <v>112</v>
      </c>
    </row>
    <row r="54" spans="1:3">
      <c r="A54" s="2" t="s">
        <v>113</v>
      </c>
      <c r="B54" s="2" t="s">
        <v>57</v>
      </c>
      <c r="C54" s="2" t="s">
        <v>114</v>
      </c>
    </row>
    <row r="55" spans="1:3">
      <c r="A55" s="2" t="s">
        <v>115</v>
      </c>
      <c r="B55" s="2" t="s">
        <v>99</v>
      </c>
      <c r="C55" s="2" t="s">
        <v>116</v>
      </c>
    </row>
    <row r="56" spans="1:3">
      <c r="A56" s="2" t="s">
        <v>117</v>
      </c>
      <c r="B56" s="2" t="s">
        <v>4</v>
      </c>
      <c r="C56" s="2" t="s">
        <v>118</v>
      </c>
    </row>
    <row r="57" spans="1:3">
      <c r="A57" s="2" t="s">
        <v>119</v>
      </c>
      <c r="B57" s="2" t="s">
        <v>57</v>
      </c>
      <c r="C57" s="2" t="s">
        <v>120</v>
      </c>
    </row>
    <row r="58" spans="1:3">
      <c r="A58" s="2" t="s">
        <v>121</v>
      </c>
      <c r="B58" s="2" t="s">
        <v>6</v>
      </c>
      <c r="C58" s="2" t="s">
        <v>122</v>
      </c>
    </row>
    <row r="59" spans="1:3">
      <c r="A59" s="2" t="s">
        <v>123</v>
      </c>
      <c r="B59" s="2" t="s">
        <v>57</v>
      </c>
      <c r="C59" s="2" t="s">
        <v>124</v>
      </c>
    </row>
    <row r="60" spans="1:3">
      <c r="A60" s="2" t="s">
        <v>125</v>
      </c>
      <c r="B60" s="2" t="s">
        <v>99</v>
      </c>
      <c r="C60" s="2" t="s">
        <v>126</v>
      </c>
    </row>
    <row r="61" spans="1:3">
      <c r="A61" s="2" t="s">
        <v>127</v>
      </c>
      <c r="B61" s="2" t="s">
        <v>99</v>
      </c>
      <c r="C61" s="2" t="s">
        <v>128</v>
      </c>
    </row>
    <row r="62" spans="1:3">
      <c r="A62" s="2" t="s">
        <v>129</v>
      </c>
      <c r="B62" s="2" t="s">
        <v>6</v>
      </c>
      <c r="C62" s="2" t="s">
        <v>130</v>
      </c>
    </row>
    <row r="63" spans="1:3">
      <c r="A63" s="2" t="s">
        <v>131</v>
      </c>
      <c r="B63" s="2" t="s">
        <v>99</v>
      </c>
      <c r="C63" s="2" t="s">
        <v>132</v>
      </c>
    </row>
    <row r="64" spans="1:3">
      <c r="A64" s="2" t="s">
        <v>125</v>
      </c>
      <c r="B64" s="2" t="s">
        <v>99</v>
      </c>
      <c r="C64" s="2" t="s">
        <v>133</v>
      </c>
    </row>
    <row r="65" spans="1:3">
      <c r="A65" s="2" t="s">
        <v>134</v>
      </c>
      <c r="B65" s="2" t="s">
        <v>99</v>
      </c>
      <c r="C65" s="2" t="s">
        <v>135</v>
      </c>
    </row>
    <row r="66" spans="1:3">
      <c r="A66" s="2" t="s">
        <v>136</v>
      </c>
      <c r="B66" s="2" t="s">
        <v>57</v>
      </c>
      <c r="C66" s="2" t="s">
        <v>137</v>
      </c>
    </row>
    <row r="67" spans="1:3">
      <c r="A67" s="2" t="s">
        <v>138</v>
      </c>
      <c r="B67" s="2" t="s">
        <v>4</v>
      </c>
      <c r="C67" s="2" t="s">
        <v>139</v>
      </c>
    </row>
    <row r="68" spans="1:3">
      <c r="A68" s="2" t="s">
        <v>140</v>
      </c>
      <c r="B68" s="2" t="s">
        <v>141</v>
      </c>
      <c r="C68" s="2" t="s">
        <v>142</v>
      </c>
    </row>
    <row r="69" spans="1:3">
      <c r="A69" s="2" t="s">
        <v>143</v>
      </c>
      <c r="B69" s="2" t="s">
        <v>99</v>
      </c>
      <c r="C69" s="2" t="s">
        <v>144</v>
      </c>
    </row>
    <row r="70" spans="1:3">
      <c r="A70" s="2" t="s">
        <v>145</v>
      </c>
      <c r="B70" s="2" t="s">
        <v>99</v>
      </c>
      <c r="C70" s="2" t="s">
        <v>146</v>
      </c>
    </row>
    <row r="71" spans="1:3">
      <c r="A71" s="2" t="s">
        <v>147</v>
      </c>
      <c r="B71" s="2" t="s">
        <v>10</v>
      </c>
      <c r="C71" s="2" t="s">
        <v>148</v>
      </c>
    </row>
    <row r="72" spans="1:3">
      <c r="A72" s="2" t="s">
        <v>149</v>
      </c>
      <c r="B72" s="2" t="s">
        <v>10</v>
      </c>
      <c r="C72" s="2" t="s">
        <v>150</v>
      </c>
    </row>
    <row r="73" spans="1:3">
      <c r="A73" s="2" t="s">
        <v>151</v>
      </c>
      <c r="B73" s="2" t="s">
        <v>6</v>
      </c>
      <c r="C73" s="2" t="s">
        <v>152</v>
      </c>
    </row>
    <row r="74" spans="1:3">
      <c r="A74" s="2" t="s">
        <v>153</v>
      </c>
      <c r="B74" s="2" t="s">
        <v>154</v>
      </c>
      <c r="C74" s="2" t="s">
        <v>155</v>
      </c>
    </row>
    <row r="75" spans="1:3">
      <c r="A75" s="2" t="s">
        <v>156</v>
      </c>
      <c r="B75" s="2" t="s">
        <v>157</v>
      </c>
      <c r="C75" s="2" t="s">
        <v>158</v>
      </c>
    </row>
    <row r="76" spans="1:3">
      <c r="A76" s="2" t="s">
        <v>159</v>
      </c>
      <c r="B76" s="2" t="s">
        <v>10</v>
      </c>
      <c r="C76" s="2" t="s">
        <v>160</v>
      </c>
    </row>
    <row r="77" spans="1:3">
      <c r="A77" s="2" t="s">
        <v>161</v>
      </c>
      <c r="B77" s="2" t="s">
        <v>6</v>
      </c>
      <c r="C77" s="2" t="s">
        <v>162</v>
      </c>
    </row>
    <row r="78" spans="1:3">
      <c r="A78" s="2" t="s">
        <v>163</v>
      </c>
      <c r="B78" s="2" t="s">
        <v>57</v>
      </c>
      <c r="C78" s="2" t="s">
        <v>164</v>
      </c>
    </row>
    <row r="79" spans="1:3">
      <c r="A79" s="2" t="s">
        <v>165</v>
      </c>
      <c r="B79" s="2" t="s">
        <v>6</v>
      </c>
      <c r="C79" s="2" t="s">
        <v>166</v>
      </c>
    </row>
    <row r="80" spans="1:3">
      <c r="A80" s="2" t="s">
        <v>167</v>
      </c>
      <c r="B80" s="2" t="s">
        <v>10</v>
      </c>
      <c r="C80" s="2" t="s">
        <v>168</v>
      </c>
    </row>
    <row r="81" spans="1:3">
      <c r="A81" s="2" t="s">
        <v>169</v>
      </c>
      <c r="B81" s="2" t="s">
        <v>10</v>
      </c>
      <c r="C81" s="2" t="s">
        <v>40</v>
      </c>
    </row>
    <row r="82" spans="1:3">
      <c r="A82" s="2" t="s">
        <v>64</v>
      </c>
      <c r="B82" s="2" t="s">
        <v>6</v>
      </c>
      <c r="C82" s="2" t="s">
        <v>170</v>
      </c>
    </row>
    <row r="83" spans="1:3">
      <c r="A83" s="2" t="s">
        <v>171</v>
      </c>
      <c r="B83" s="2" t="s">
        <v>6</v>
      </c>
      <c r="C83" s="2" t="s">
        <v>172</v>
      </c>
    </row>
    <row r="84" spans="1:3">
      <c r="A84" s="2" t="s">
        <v>173</v>
      </c>
      <c r="B84" s="2" t="s">
        <v>57</v>
      </c>
      <c r="C84" s="2" t="s">
        <v>174</v>
      </c>
    </row>
    <row r="85" spans="1:3">
      <c r="A85" s="2" t="s">
        <v>62</v>
      </c>
      <c r="B85" s="2" t="s">
        <v>6</v>
      </c>
      <c r="C85" s="2" t="s">
        <v>175</v>
      </c>
    </row>
    <row r="86" spans="1:3">
      <c r="A86" s="2" t="s">
        <v>176</v>
      </c>
      <c r="B86" s="2" t="s">
        <v>10</v>
      </c>
      <c r="C86" s="2" t="s">
        <v>177</v>
      </c>
    </row>
    <row r="87" spans="1:3">
      <c r="A87" s="2" t="s">
        <v>178</v>
      </c>
      <c r="B87" s="2" t="s">
        <v>10</v>
      </c>
      <c r="C87" s="2" t="s">
        <v>179</v>
      </c>
    </row>
    <row r="88" spans="1:3">
      <c r="A88" s="2" t="s">
        <v>180</v>
      </c>
      <c r="B88" s="2" t="s">
        <v>6</v>
      </c>
      <c r="C88" s="2" t="s">
        <v>181</v>
      </c>
    </row>
    <row r="89" spans="1:3">
      <c r="A89" s="2" t="s">
        <v>182</v>
      </c>
      <c r="B89" s="2" t="s">
        <v>99</v>
      </c>
      <c r="C89" s="2" t="s">
        <v>183</v>
      </c>
    </row>
    <row r="90" spans="1:3">
      <c r="A90" s="2" t="s">
        <v>117</v>
      </c>
      <c r="B90" s="2" t="s">
        <v>81</v>
      </c>
      <c r="C90" s="2" t="s">
        <v>184</v>
      </c>
    </row>
    <row r="91" spans="1:3">
      <c r="A91" s="2" t="s">
        <v>185</v>
      </c>
      <c r="B91" s="2" t="s">
        <v>10</v>
      </c>
      <c r="C91" s="2" t="s">
        <v>186</v>
      </c>
    </row>
    <row r="92" spans="1:3">
      <c r="A92" s="2" t="s">
        <v>187</v>
      </c>
      <c r="B92" s="2" t="s">
        <v>99</v>
      </c>
      <c r="C92" s="2" t="s">
        <v>188</v>
      </c>
    </row>
    <row r="93" spans="1:3">
      <c r="A93" s="2" t="s">
        <v>189</v>
      </c>
      <c r="B93" s="2" t="s">
        <v>99</v>
      </c>
      <c r="C93" s="2" t="s">
        <v>190</v>
      </c>
    </row>
    <row r="94" spans="1:3">
      <c r="A94" s="2" t="s">
        <v>182</v>
      </c>
      <c r="B94" s="2" t="s">
        <v>99</v>
      </c>
      <c r="C94" s="2" t="s">
        <v>191</v>
      </c>
    </row>
    <row r="95" spans="1:3">
      <c r="A95" s="2" t="s">
        <v>192</v>
      </c>
      <c r="B95" s="2" t="s">
        <v>99</v>
      </c>
      <c r="C95" s="2" t="s">
        <v>193</v>
      </c>
    </row>
    <row r="96" spans="1:3">
      <c r="A96" s="2" t="s">
        <v>194</v>
      </c>
      <c r="B96" s="2" t="s">
        <v>99</v>
      </c>
      <c r="C96" s="2" t="s">
        <v>195</v>
      </c>
    </row>
    <row r="97" spans="1:3">
      <c r="A97" s="2" t="s">
        <v>196</v>
      </c>
      <c r="B97" s="2" t="s">
        <v>154</v>
      </c>
      <c r="C97" s="2" t="s">
        <v>197</v>
      </c>
    </row>
    <row r="98" spans="1:3">
      <c r="A98" s="2" t="s">
        <v>198</v>
      </c>
      <c r="B98" s="2" t="s">
        <v>199</v>
      </c>
      <c r="C98" s="2" t="s">
        <v>200</v>
      </c>
    </row>
    <row r="99" spans="1:3">
      <c r="A99" s="2" t="s">
        <v>201</v>
      </c>
      <c r="B99" s="2" t="s">
        <v>202</v>
      </c>
      <c r="C99" s="2" t="s">
        <v>203</v>
      </c>
    </row>
    <row r="100" spans="1:3">
      <c r="A100" s="2" t="s">
        <v>204</v>
      </c>
      <c r="B100" s="2" t="s">
        <v>154</v>
      </c>
      <c r="C100" s="2" t="s">
        <v>205</v>
      </c>
    </row>
    <row r="101" spans="1:3">
      <c r="A101" s="2" t="s">
        <v>206</v>
      </c>
      <c r="B101" s="2" t="s">
        <v>199</v>
      </c>
      <c r="C101" s="2" t="s">
        <v>207</v>
      </c>
    </row>
    <row r="102" spans="1:3">
      <c r="A102" s="2" t="s">
        <v>208</v>
      </c>
      <c r="B102" s="2" t="s">
        <v>10</v>
      </c>
      <c r="C102" s="2" t="s">
        <v>209</v>
      </c>
    </row>
    <row r="103" spans="1:3">
      <c r="A103" s="2" t="s">
        <v>171</v>
      </c>
      <c r="B103" s="2" t="s">
        <v>10</v>
      </c>
      <c r="C103" s="2" t="s">
        <v>172</v>
      </c>
    </row>
    <row r="104" spans="1:2">
      <c r="A104" s="2" t="s">
        <v>210</v>
      </c>
      <c r="B104" s="2" t="s">
        <v>57</v>
      </c>
    </row>
    <row r="105" spans="1:2">
      <c r="A105" s="2" t="s">
        <v>211</v>
      </c>
      <c r="B105" s="2" t="s">
        <v>57</v>
      </c>
    </row>
    <row r="106" spans="1:2">
      <c r="A106" s="2" t="s">
        <v>212</v>
      </c>
      <c r="B106" s="2" t="s">
        <v>213</v>
      </c>
    </row>
    <row r="107" spans="1:2">
      <c r="A107" s="2" t="s">
        <v>214</v>
      </c>
      <c r="B107" s="2" t="s">
        <v>213</v>
      </c>
    </row>
    <row r="108" spans="1:2">
      <c r="A108" s="2" t="s">
        <v>215</v>
      </c>
      <c r="B108" s="2" t="s">
        <v>213</v>
      </c>
    </row>
    <row r="109" spans="1:2">
      <c r="A109" s="2" t="s">
        <v>216</v>
      </c>
      <c r="B109" s="2" t="s">
        <v>213</v>
      </c>
    </row>
    <row r="110" spans="1:2">
      <c r="A110" s="2" t="s">
        <v>217</v>
      </c>
      <c r="B110" s="2" t="s">
        <v>218</v>
      </c>
    </row>
    <row r="111" spans="1:3">
      <c r="A111" s="2" t="s">
        <v>219</v>
      </c>
      <c r="B111" s="2" t="s">
        <v>220</v>
      </c>
      <c r="C111" s="2" t="s">
        <v>221</v>
      </c>
    </row>
    <row r="112" spans="1:2">
      <c r="A112" s="2" t="s">
        <v>222</v>
      </c>
      <c r="B112" s="2" t="s">
        <v>213</v>
      </c>
    </row>
    <row r="113" spans="1:2">
      <c r="A113" s="2" t="s">
        <v>223</v>
      </c>
      <c r="B113" s="2" t="s">
        <v>213</v>
      </c>
    </row>
    <row r="114" spans="1:2">
      <c r="A114" s="2" t="s">
        <v>224</v>
      </c>
      <c r="B114" s="2" t="s">
        <v>6</v>
      </c>
    </row>
    <row r="115" spans="1:2">
      <c r="A115" s="2" t="s">
        <v>225</v>
      </c>
      <c r="B115" s="2" t="s">
        <v>6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J108"/>
  <sheetViews>
    <sheetView workbookViewId="0">
      <pane ySplit="1" topLeftCell="A65" activePane="bottomLeft" state="frozen"/>
      <selection/>
      <selection pane="bottomLeft" activeCell="F1" sqref="F1"/>
    </sheetView>
  </sheetViews>
  <sheetFormatPr defaultColWidth="9" defaultRowHeight="11.25"/>
  <cols>
    <col min="1" max="1" width="4.5" style="1" customWidth="1"/>
    <col min="2" max="2" width="23.875" style="2" customWidth="1"/>
    <col min="3" max="3" width="10.5" style="20" customWidth="1"/>
    <col min="4" max="4" width="17.25" style="20" customWidth="1"/>
    <col min="5" max="5" width="14.75" style="2" customWidth="1"/>
    <col min="6" max="6" width="12.25" style="1" customWidth="1"/>
    <col min="7" max="7" width="21.875" style="2" customWidth="1"/>
    <col min="8" max="8" width="15.625" style="2" customWidth="1"/>
    <col min="9" max="16384" width="9" style="2"/>
  </cols>
  <sheetData>
    <row r="1" spans="1:8">
      <c r="A1" s="8" t="s">
        <v>226</v>
      </c>
      <c r="B1" s="8" t="s">
        <v>227</v>
      </c>
      <c r="C1" s="8" t="s">
        <v>1</v>
      </c>
      <c r="D1" s="8" t="s">
        <v>228</v>
      </c>
      <c r="E1" s="8" t="s">
        <v>229</v>
      </c>
      <c r="F1" s="8" t="s">
        <v>230</v>
      </c>
      <c r="G1" s="8" t="s">
        <v>231</v>
      </c>
      <c r="H1" s="8" t="s">
        <v>2</v>
      </c>
    </row>
    <row r="2" spans="1:8">
      <c r="A2" s="31" t="s">
        <v>232</v>
      </c>
      <c r="B2" s="19" t="s">
        <v>233</v>
      </c>
      <c r="C2" s="19" t="s">
        <v>234</v>
      </c>
      <c r="D2" s="19" t="s">
        <v>235</v>
      </c>
      <c r="E2" s="19" t="s">
        <v>236</v>
      </c>
      <c r="F2" s="31">
        <v>0</v>
      </c>
      <c r="G2" s="19" t="s">
        <v>237</v>
      </c>
      <c r="H2" s="2" t="s">
        <v>238</v>
      </c>
    </row>
    <row r="3" spans="1:7">
      <c r="A3" s="31"/>
      <c r="B3" s="19"/>
      <c r="C3" s="19"/>
      <c r="D3" s="19"/>
      <c r="E3" s="19" t="s">
        <v>239</v>
      </c>
      <c r="F3" s="31">
        <v>1</v>
      </c>
      <c r="G3" s="19" t="s">
        <v>240</v>
      </c>
    </row>
    <row r="4" spans="1:7">
      <c r="A4" s="31" t="s">
        <v>232</v>
      </c>
      <c r="B4" s="19" t="s">
        <v>241</v>
      </c>
      <c r="C4" s="19" t="s">
        <v>37</v>
      </c>
      <c r="D4" s="19" t="s">
        <v>242</v>
      </c>
      <c r="E4" s="19" t="s">
        <v>243</v>
      </c>
      <c r="F4" s="31">
        <v>0</v>
      </c>
      <c r="G4" s="19" t="s">
        <v>244</v>
      </c>
    </row>
    <row r="5" spans="1:7">
      <c r="A5" s="31"/>
      <c r="B5" s="19"/>
      <c r="C5" s="19"/>
      <c r="D5" s="19"/>
      <c r="E5" s="19" t="s">
        <v>245</v>
      </c>
      <c r="F5" s="31">
        <v>1</v>
      </c>
      <c r="G5" s="19" t="s">
        <v>246</v>
      </c>
    </row>
    <row r="6" spans="1:7">
      <c r="A6" s="31" t="s">
        <v>232</v>
      </c>
      <c r="B6" s="19" t="s">
        <v>247</v>
      </c>
      <c r="C6" s="19" t="s">
        <v>37</v>
      </c>
      <c r="D6" s="19" t="s">
        <v>248</v>
      </c>
      <c r="E6" s="19" t="s">
        <v>243</v>
      </c>
      <c r="F6" s="31">
        <v>0</v>
      </c>
      <c r="G6" s="19" t="s">
        <v>249</v>
      </c>
    </row>
    <row r="7" spans="1:7">
      <c r="A7" s="31"/>
      <c r="B7" s="19"/>
      <c r="C7" s="19"/>
      <c r="D7" s="19"/>
      <c r="E7" s="19" t="s">
        <v>245</v>
      </c>
      <c r="F7" s="31">
        <v>1</v>
      </c>
      <c r="G7" s="19" t="s">
        <v>238</v>
      </c>
    </row>
    <row r="8" spans="1:7">
      <c r="A8" s="31" t="s">
        <v>232</v>
      </c>
      <c r="B8" s="19" t="s">
        <v>250</v>
      </c>
      <c r="C8" s="19" t="s">
        <v>37</v>
      </c>
      <c r="D8" s="19" t="s">
        <v>251</v>
      </c>
      <c r="E8" s="19" t="s">
        <v>236</v>
      </c>
      <c r="F8" s="31">
        <v>0</v>
      </c>
      <c r="G8" s="19" t="s">
        <v>237</v>
      </c>
    </row>
    <row r="9" spans="1:7">
      <c r="A9" s="31"/>
      <c r="B9" s="19"/>
      <c r="C9" s="19"/>
      <c r="D9" s="19"/>
      <c r="E9" s="19" t="s">
        <v>239</v>
      </c>
      <c r="F9" s="31">
        <v>1</v>
      </c>
      <c r="G9" s="19" t="s">
        <v>240</v>
      </c>
    </row>
    <row r="10" spans="1:7">
      <c r="A10" s="31" t="s">
        <v>232</v>
      </c>
      <c r="B10" s="19" t="s">
        <v>252</v>
      </c>
      <c r="C10" s="19" t="s">
        <v>37</v>
      </c>
      <c r="D10" s="19" t="s">
        <v>253</v>
      </c>
      <c r="E10" s="19" t="s">
        <v>254</v>
      </c>
      <c r="F10" s="31">
        <v>0</v>
      </c>
      <c r="G10" s="19" t="s">
        <v>255</v>
      </c>
    </row>
    <row r="11" spans="1:7">
      <c r="A11" s="31"/>
      <c r="B11" s="19"/>
      <c r="C11" s="19"/>
      <c r="D11" s="19"/>
      <c r="E11" s="19" t="s">
        <v>256</v>
      </c>
      <c r="F11" s="31">
        <v>1</v>
      </c>
      <c r="G11" s="19" t="s">
        <v>257</v>
      </c>
    </row>
    <row r="12" spans="1:7">
      <c r="A12" s="31" t="s">
        <v>232</v>
      </c>
      <c r="B12" s="19" t="s">
        <v>258</v>
      </c>
      <c r="C12" s="19" t="s">
        <v>37</v>
      </c>
      <c r="D12" s="19" t="s">
        <v>259</v>
      </c>
      <c r="E12" s="19" t="s">
        <v>260</v>
      </c>
      <c r="F12" s="31">
        <v>0</v>
      </c>
      <c r="G12" s="19" t="s">
        <v>260</v>
      </c>
    </row>
    <row r="13" spans="1:7">
      <c r="A13" s="31"/>
      <c r="B13" s="19"/>
      <c r="C13" s="19"/>
      <c r="D13" s="19"/>
      <c r="E13" s="19" t="s">
        <v>261</v>
      </c>
      <c r="F13" s="31">
        <v>1</v>
      </c>
      <c r="G13" s="19" t="s">
        <v>262</v>
      </c>
    </row>
    <row r="14" spans="1:7">
      <c r="A14" s="31" t="s">
        <v>232</v>
      </c>
      <c r="B14" s="19" t="s">
        <v>263</v>
      </c>
      <c r="C14" s="19" t="s">
        <v>37</v>
      </c>
      <c r="D14" s="19" t="s">
        <v>264</v>
      </c>
      <c r="E14" s="19" t="s">
        <v>265</v>
      </c>
      <c r="F14" s="31">
        <v>0</v>
      </c>
      <c r="G14" s="19" t="s">
        <v>266</v>
      </c>
    </row>
    <row r="15" spans="1:7">
      <c r="A15" s="31"/>
      <c r="B15" s="19"/>
      <c r="C15" s="19"/>
      <c r="D15" s="19"/>
      <c r="E15" s="19" t="s">
        <v>267</v>
      </c>
      <c r="F15" s="31">
        <v>1</v>
      </c>
      <c r="G15" s="19" t="s">
        <v>268</v>
      </c>
    </row>
    <row r="16" spans="1:7">
      <c r="A16" s="31"/>
      <c r="B16" s="19"/>
      <c r="C16" s="19"/>
      <c r="D16" s="19"/>
      <c r="E16" s="19" t="s">
        <v>269</v>
      </c>
      <c r="F16" s="31">
        <v>2</v>
      </c>
      <c r="G16" s="19" t="s">
        <v>270</v>
      </c>
    </row>
    <row r="17" spans="1:7">
      <c r="A17" s="31"/>
      <c r="B17" s="19"/>
      <c r="C17" s="19"/>
      <c r="D17" s="19"/>
      <c r="E17" s="19" t="s">
        <v>271</v>
      </c>
      <c r="F17" s="31">
        <v>3</v>
      </c>
      <c r="G17" s="19" t="s">
        <v>272</v>
      </c>
    </row>
    <row r="18" spans="1:7">
      <c r="A18" s="31" t="s">
        <v>232</v>
      </c>
      <c r="B18" s="19" t="s">
        <v>273</v>
      </c>
      <c r="C18" s="19" t="s">
        <v>37</v>
      </c>
      <c r="D18" s="19" t="s">
        <v>274</v>
      </c>
      <c r="E18" s="19" t="s">
        <v>275</v>
      </c>
      <c r="F18" s="31">
        <v>0</v>
      </c>
      <c r="G18" s="19" t="s">
        <v>276</v>
      </c>
    </row>
    <row r="19" spans="1:7">
      <c r="A19" s="31"/>
      <c r="B19" s="19"/>
      <c r="C19" s="19"/>
      <c r="D19" s="19"/>
      <c r="E19" s="19" t="s">
        <v>277</v>
      </c>
      <c r="F19" s="31">
        <v>1</v>
      </c>
      <c r="G19" s="19" t="s">
        <v>278</v>
      </c>
    </row>
    <row r="20" spans="1:7">
      <c r="A20" s="31" t="s">
        <v>232</v>
      </c>
      <c r="B20" s="19" t="s">
        <v>279</v>
      </c>
      <c r="C20" s="19" t="s">
        <v>37</v>
      </c>
      <c r="D20" s="19" t="s">
        <v>280</v>
      </c>
      <c r="E20" s="19" t="s">
        <v>281</v>
      </c>
      <c r="F20" s="31">
        <v>0</v>
      </c>
      <c r="G20" s="19" t="s">
        <v>282</v>
      </c>
    </row>
    <row r="21" spans="1:7">
      <c r="A21" s="31"/>
      <c r="B21" s="19"/>
      <c r="C21" s="19"/>
      <c r="D21" s="19"/>
      <c r="E21" s="19" t="s">
        <v>283</v>
      </c>
      <c r="F21" s="31">
        <v>1</v>
      </c>
      <c r="G21" s="19" t="s">
        <v>284</v>
      </c>
    </row>
    <row r="22" spans="1:7">
      <c r="A22" s="31"/>
      <c r="B22" s="19"/>
      <c r="C22" s="19"/>
      <c r="D22" s="19"/>
      <c r="E22" s="19" t="s">
        <v>285</v>
      </c>
      <c r="F22" s="31">
        <v>2</v>
      </c>
      <c r="G22" s="19" t="s">
        <v>286</v>
      </c>
    </row>
    <row r="23" spans="1:7">
      <c r="A23" s="31" t="s">
        <v>232</v>
      </c>
      <c r="B23" s="19" t="s">
        <v>287</v>
      </c>
      <c r="C23" s="19" t="s">
        <v>37</v>
      </c>
      <c r="D23" s="19" t="s">
        <v>288</v>
      </c>
      <c r="E23" s="19" t="s">
        <v>289</v>
      </c>
      <c r="F23" s="31">
        <v>0</v>
      </c>
      <c r="G23" s="19" t="s">
        <v>268</v>
      </c>
    </row>
    <row r="24" spans="1:7">
      <c r="A24" s="31"/>
      <c r="B24" s="19"/>
      <c r="C24" s="19"/>
      <c r="D24" s="19"/>
      <c r="E24" s="19" t="s">
        <v>239</v>
      </c>
      <c r="F24" s="31">
        <v>1</v>
      </c>
      <c r="G24" s="19" t="s">
        <v>290</v>
      </c>
    </row>
    <row r="25" spans="1:7">
      <c r="A25" s="31"/>
      <c r="B25" s="19"/>
      <c r="C25" s="19"/>
      <c r="D25" s="19"/>
      <c r="E25" s="19" t="s">
        <v>236</v>
      </c>
      <c r="F25" s="31">
        <v>2</v>
      </c>
      <c r="G25" s="19" t="s">
        <v>291</v>
      </c>
    </row>
    <row r="26" spans="1:7">
      <c r="A26" s="31"/>
      <c r="B26" s="19"/>
      <c r="C26" s="19"/>
      <c r="D26" s="19"/>
      <c r="E26" s="19" t="s">
        <v>292</v>
      </c>
      <c r="F26" s="31">
        <v>3</v>
      </c>
      <c r="G26" s="19" t="s">
        <v>293</v>
      </c>
    </row>
    <row r="27" spans="1:7">
      <c r="A27" s="31"/>
      <c r="B27" s="19"/>
      <c r="C27" s="19"/>
      <c r="D27" s="19"/>
      <c r="E27" s="19" t="s">
        <v>294</v>
      </c>
      <c r="F27" s="31">
        <v>4</v>
      </c>
      <c r="G27" s="19" t="s">
        <v>295</v>
      </c>
    </row>
    <row r="28" spans="1:7">
      <c r="A28" s="31"/>
      <c r="B28" s="19"/>
      <c r="C28" s="19"/>
      <c r="D28" s="19"/>
      <c r="E28" s="19" t="s">
        <v>296</v>
      </c>
      <c r="F28" s="31">
        <v>5</v>
      </c>
      <c r="G28" s="19" t="s">
        <v>297</v>
      </c>
    </row>
    <row r="29" spans="1:7">
      <c r="A29" s="31"/>
      <c r="B29" s="19"/>
      <c r="C29" s="19"/>
      <c r="D29" s="19"/>
      <c r="E29" s="19" t="s">
        <v>285</v>
      </c>
      <c r="F29" s="31">
        <v>6</v>
      </c>
      <c r="G29" s="19" t="s">
        <v>298</v>
      </c>
    </row>
    <row r="30" spans="1:7">
      <c r="A30" s="31" t="s">
        <v>232</v>
      </c>
      <c r="B30" s="19" t="s">
        <v>299</v>
      </c>
      <c r="C30" s="19" t="s">
        <v>37</v>
      </c>
      <c r="D30" s="19" t="s">
        <v>300</v>
      </c>
      <c r="E30" s="19" t="s">
        <v>301</v>
      </c>
      <c r="F30" s="31">
        <v>0</v>
      </c>
      <c r="G30" s="19" t="s">
        <v>302</v>
      </c>
    </row>
    <row r="31" spans="1:7">
      <c r="A31" s="31"/>
      <c r="B31" s="19"/>
      <c r="C31" s="19"/>
      <c r="D31" s="19"/>
      <c r="E31" s="19" t="s">
        <v>303</v>
      </c>
      <c r="F31" s="31">
        <v>1</v>
      </c>
      <c r="G31" s="19" t="s">
        <v>304</v>
      </c>
    </row>
    <row r="32" spans="1:7">
      <c r="A32" s="31"/>
      <c r="B32" s="19"/>
      <c r="C32" s="19"/>
      <c r="D32" s="19"/>
      <c r="E32" s="19" t="s">
        <v>305</v>
      </c>
      <c r="F32" s="31">
        <v>2</v>
      </c>
      <c r="G32" s="19" t="s">
        <v>306</v>
      </c>
    </row>
    <row r="33" spans="1:7">
      <c r="A33" s="31"/>
      <c r="B33" s="19"/>
      <c r="C33" s="19"/>
      <c r="D33" s="19"/>
      <c r="E33" s="19" t="s">
        <v>307</v>
      </c>
      <c r="F33" s="31">
        <v>3</v>
      </c>
      <c r="G33" s="19" t="s">
        <v>308</v>
      </c>
    </row>
    <row r="34" spans="1:7">
      <c r="A34" s="31"/>
      <c r="B34" s="19"/>
      <c r="C34" s="19"/>
      <c r="D34" s="19"/>
      <c r="E34" s="19" t="s">
        <v>309</v>
      </c>
      <c r="F34" s="31">
        <v>4</v>
      </c>
      <c r="G34" s="19" t="s">
        <v>195</v>
      </c>
    </row>
    <row r="35" spans="1:7">
      <c r="A35" s="31" t="s">
        <v>232</v>
      </c>
      <c r="B35" s="19" t="s">
        <v>310</v>
      </c>
      <c r="C35" s="19" t="s">
        <v>37</v>
      </c>
      <c r="D35" s="19" t="s">
        <v>311</v>
      </c>
      <c r="E35" s="19" t="s">
        <v>312</v>
      </c>
      <c r="F35" s="31">
        <v>0</v>
      </c>
      <c r="G35" s="19" t="s">
        <v>313</v>
      </c>
    </row>
    <row r="36" spans="1:7">
      <c r="A36" s="31"/>
      <c r="B36" s="31"/>
      <c r="C36" s="31"/>
      <c r="D36" s="31"/>
      <c r="E36" s="19" t="s">
        <v>314</v>
      </c>
      <c r="F36" s="31">
        <v>1</v>
      </c>
      <c r="G36" s="19" t="s">
        <v>315</v>
      </c>
    </row>
    <row r="37" spans="1:7">
      <c r="A37" s="31"/>
      <c r="B37" s="31"/>
      <c r="C37" s="31"/>
      <c r="D37" s="31"/>
      <c r="E37" s="19" t="s">
        <v>316</v>
      </c>
      <c r="F37" s="31">
        <v>2</v>
      </c>
      <c r="G37" s="19" t="s">
        <v>317</v>
      </c>
    </row>
    <row r="38" spans="1:7">
      <c r="A38" s="31" t="s">
        <v>232</v>
      </c>
      <c r="B38" s="19" t="s">
        <v>318</v>
      </c>
      <c r="C38" s="19" t="s">
        <v>37</v>
      </c>
      <c r="D38" s="19" t="s">
        <v>319</v>
      </c>
      <c r="E38" s="19" t="s">
        <v>320</v>
      </c>
      <c r="F38" s="31">
        <v>0</v>
      </c>
      <c r="G38" s="19" t="s">
        <v>321</v>
      </c>
    </row>
    <row r="39" spans="1:7">
      <c r="A39" s="31"/>
      <c r="B39" s="31"/>
      <c r="C39" s="31"/>
      <c r="D39" s="31"/>
      <c r="E39" s="19" t="s">
        <v>322</v>
      </c>
      <c r="F39" s="31">
        <v>1</v>
      </c>
      <c r="G39" s="19" t="s">
        <v>323</v>
      </c>
    </row>
    <row r="40" spans="1:7">
      <c r="A40" s="31" t="s">
        <v>232</v>
      </c>
      <c r="B40" s="19" t="s">
        <v>324</v>
      </c>
      <c r="C40" s="19" t="s">
        <v>37</v>
      </c>
      <c r="D40" s="19" t="s">
        <v>325</v>
      </c>
      <c r="E40" s="19" t="s">
        <v>326</v>
      </c>
      <c r="F40" s="31">
        <v>0</v>
      </c>
      <c r="G40" s="19" t="s">
        <v>327</v>
      </c>
    </row>
    <row r="41" spans="1:7">
      <c r="A41" s="31"/>
      <c r="B41" s="31"/>
      <c r="C41" s="31"/>
      <c r="D41" s="31"/>
      <c r="E41" s="19" t="s">
        <v>328</v>
      </c>
      <c r="F41" s="31">
        <v>1</v>
      </c>
      <c r="G41" s="19" t="s">
        <v>328</v>
      </c>
    </row>
    <row r="42" spans="1:7">
      <c r="A42" s="31" t="s">
        <v>232</v>
      </c>
      <c r="B42" s="19" t="s">
        <v>329</v>
      </c>
      <c r="C42" s="19" t="s">
        <v>37</v>
      </c>
      <c r="D42" s="19" t="s">
        <v>330</v>
      </c>
      <c r="E42" s="19" t="s">
        <v>283</v>
      </c>
      <c r="F42" s="31">
        <v>0</v>
      </c>
      <c r="G42" s="19" t="s">
        <v>284</v>
      </c>
    </row>
    <row r="43" spans="1:7">
      <c r="A43" s="31"/>
      <c r="B43" s="31"/>
      <c r="C43" s="31"/>
      <c r="D43" s="31"/>
      <c r="E43" s="19" t="s">
        <v>331</v>
      </c>
      <c r="F43" s="31">
        <v>1</v>
      </c>
      <c r="G43" s="19" t="s">
        <v>332</v>
      </c>
    </row>
    <row r="44" ht="13.5" spans="1:10">
      <c r="A44" s="31"/>
      <c r="B44" s="31"/>
      <c r="C44" s="31"/>
      <c r="D44" s="31"/>
      <c r="E44" s="19" t="s">
        <v>285</v>
      </c>
      <c r="F44" s="31">
        <v>2</v>
      </c>
      <c r="G44" s="19" t="s">
        <v>286</v>
      </c>
      <c r="H44"/>
      <c r="I44" s="31"/>
      <c r="J44" s="19"/>
    </row>
    <row r="45" ht="13.5" spans="1:10">
      <c r="A45" s="31" t="s">
        <v>232</v>
      </c>
      <c r="B45" s="35" t="s">
        <v>333</v>
      </c>
      <c r="C45" s="19" t="s">
        <v>37</v>
      </c>
      <c r="D45" s="35" t="s">
        <v>334</v>
      </c>
      <c r="E45" s="19" t="s">
        <v>243</v>
      </c>
      <c r="F45" s="31">
        <v>0</v>
      </c>
      <c r="G45" s="19" t="s">
        <v>335</v>
      </c>
      <c r="H45"/>
      <c r="I45" s="31"/>
      <c r="J45" s="19"/>
    </row>
    <row r="46" ht="13.5" spans="1:10">
      <c r="A46" s="31"/>
      <c r="B46" s="31"/>
      <c r="C46" s="31"/>
      <c r="D46" s="31"/>
      <c r="E46" s="19" t="s">
        <v>245</v>
      </c>
      <c r="F46" s="31">
        <v>1</v>
      </c>
      <c r="G46" s="19" t="s">
        <v>336</v>
      </c>
      <c r="H46"/>
      <c r="I46" s="31"/>
      <c r="J46" s="19"/>
    </row>
    <row r="47" spans="1:7">
      <c r="A47" s="31" t="s">
        <v>232</v>
      </c>
      <c r="B47" s="19" t="s">
        <v>337</v>
      </c>
      <c r="C47" s="19" t="s">
        <v>37</v>
      </c>
      <c r="D47" s="19" t="s">
        <v>338</v>
      </c>
      <c r="E47" s="19" t="s">
        <v>269</v>
      </c>
      <c r="F47" s="31">
        <v>0</v>
      </c>
      <c r="G47" s="19" t="s">
        <v>339</v>
      </c>
    </row>
    <row r="48" spans="1:7">
      <c r="A48" s="31"/>
      <c r="B48" s="31"/>
      <c r="C48" s="31"/>
      <c r="D48" s="31"/>
      <c r="E48" s="19" t="s">
        <v>265</v>
      </c>
      <c r="F48" s="31">
        <v>1</v>
      </c>
      <c r="G48" s="19" t="s">
        <v>340</v>
      </c>
    </row>
    <row r="49" spans="1:7">
      <c r="A49" s="31" t="s">
        <v>232</v>
      </c>
      <c r="B49" s="19" t="s">
        <v>341</v>
      </c>
      <c r="C49" s="19" t="s">
        <v>37</v>
      </c>
      <c r="D49" s="19" t="s">
        <v>342</v>
      </c>
      <c r="E49" s="19" t="s">
        <v>343</v>
      </c>
      <c r="F49" s="31">
        <v>0</v>
      </c>
      <c r="G49" s="19" t="s">
        <v>344</v>
      </c>
    </row>
    <row r="50" spans="1:7">
      <c r="A50" s="31"/>
      <c r="B50" s="31"/>
      <c r="C50" s="31"/>
      <c r="D50" s="31"/>
      <c r="E50" s="19" t="s">
        <v>345</v>
      </c>
      <c r="F50" s="31">
        <v>1</v>
      </c>
      <c r="G50" s="19" t="s">
        <v>346</v>
      </c>
    </row>
    <row r="51" spans="1:7">
      <c r="A51" s="31"/>
      <c r="B51" s="19"/>
      <c r="C51" s="19"/>
      <c r="D51" s="19"/>
      <c r="E51" s="19" t="s">
        <v>347</v>
      </c>
      <c r="F51" s="31">
        <v>2</v>
      </c>
      <c r="G51" s="19" t="s">
        <v>348</v>
      </c>
    </row>
    <row r="52" spans="1:7">
      <c r="A52" s="31" t="s">
        <v>232</v>
      </c>
      <c r="B52" s="19" t="s">
        <v>349</v>
      </c>
      <c r="C52" s="19" t="s">
        <v>37</v>
      </c>
      <c r="D52" s="19" t="s">
        <v>350</v>
      </c>
      <c r="E52" s="19" t="s">
        <v>351</v>
      </c>
      <c r="F52" s="31">
        <v>0</v>
      </c>
      <c r="G52" s="19" t="s">
        <v>352</v>
      </c>
    </row>
    <row r="53" spans="1:7">
      <c r="A53" s="31"/>
      <c r="B53" s="31"/>
      <c r="C53" s="31"/>
      <c r="D53" s="31"/>
      <c r="E53" s="19" t="s">
        <v>353</v>
      </c>
      <c r="F53" s="31">
        <v>1</v>
      </c>
      <c r="G53" s="19" t="s">
        <v>354</v>
      </c>
    </row>
    <row r="54" spans="1:7">
      <c r="A54" s="31" t="s">
        <v>232</v>
      </c>
      <c r="B54" s="19" t="s">
        <v>355</v>
      </c>
      <c r="C54" s="19" t="s">
        <v>37</v>
      </c>
      <c r="D54" s="19" t="s">
        <v>356</v>
      </c>
      <c r="E54" s="19" t="s">
        <v>357</v>
      </c>
      <c r="F54" s="31">
        <v>0</v>
      </c>
      <c r="G54" s="19" t="s">
        <v>358</v>
      </c>
    </row>
    <row r="55" spans="1:7">
      <c r="A55" s="31"/>
      <c r="B55" s="31"/>
      <c r="C55" s="31"/>
      <c r="D55" s="31"/>
      <c r="E55" s="19" t="s">
        <v>359</v>
      </c>
      <c r="F55" s="31">
        <v>1</v>
      </c>
      <c r="G55" s="19" t="s">
        <v>360</v>
      </c>
    </row>
    <row r="56" spans="1:7">
      <c r="A56" s="31" t="s">
        <v>232</v>
      </c>
      <c r="B56" s="19" t="s">
        <v>361</v>
      </c>
      <c r="C56" s="19" t="s">
        <v>37</v>
      </c>
      <c r="D56" s="19" t="s">
        <v>362</v>
      </c>
      <c r="E56" s="19" t="s">
        <v>363</v>
      </c>
      <c r="F56" s="31">
        <v>0</v>
      </c>
      <c r="G56" s="19" t="s">
        <v>364</v>
      </c>
    </row>
    <row r="57" spans="1:7">
      <c r="A57" s="31"/>
      <c r="B57" s="19"/>
      <c r="C57" s="19"/>
      <c r="D57" s="19"/>
      <c r="E57" s="19" t="s">
        <v>365</v>
      </c>
      <c r="F57" s="31">
        <v>1</v>
      </c>
      <c r="G57" s="19" t="s">
        <v>366</v>
      </c>
    </row>
    <row r="58" spans="1:7">
      <c r="A58" s="31"/>
      <c r="B58" s="19"/>
      <c r="C58" s="19"/>
      <c r="D58" s="19"/>
      <c r="E58" s="19" t="s">
        <v>367</v>
      </c>
      <c r="F58" s="31">
        <v>2</v>
      </c>
      <c r="G58" s="19" t="s">
        <v>368</v>
      </c>
    </row>
    <row r="59" spans="1:7">
      <c r="A59" s="31"/>
      <c r="B59" s="19"/>
      <c r="C59" s="19"/>
      <c r="D59" s="19"/>
      <c r="E59" s="19" t="s">
        <v>369</v>
      </c>
      <c r="F59" s="31">
        <v>3</v>
      </c>
      <c r="G59" s="19" t="s">
        <v>370</v>
      </c>
    </row>
    <row r="60" spans="1:7">
      <c r="A60" s="31"/>
      <c r="B60" s="19"/>
      <c r="C60" s="19"/>
      <c r="D60" s="19"/>
      <c r="E60" s="19" t="s">
        <v>371</v>
      </c>
      <c r="F60" s="31">
        <v>4</v>
      </c>
      <c r="G60" s="19" t="s">
        <v>372</v>
      </c>
    </row>
    <row r="61" spans="1:7">
      <c r="A61" s="31"/>
      <c r="B61" s="19"/>
      <c r="C61" s="19"/>
      <c r="D61" s="19"/>
      <c r="E61" s="19" t="s">
        <v>373</v>
      </c>
      <c r="F61" s="31">
        <v>5</v>
      </c>
      <c r="G61" s="19" t="s">
        <v>374</v>
      </c>
    </row>
    <row r="62" spans="1:7">
      <c r="A62" s="31" t="s">
        <v>232</v>
      </c>
      <c r="B62" s="19" t="s">
        <v>375</v>
      </c>
      <c r="C62" s="19" t="s">
        <v>37</v>
      </c>
      <c r="D62" s="19" t="s">
        <v>376</v>
      </c>
      <c r="E62" s="19" t="s">
        <v>377</v>
      </c>
      <c r="F62" s="31">
        <v>0</v>
      </c>
      <c r="G62" s="19" t="s">
        <v>378</v>
      </c>
    </row>
    <row r="63" spans="1:7">
      <c r="A63" s="31"/>
      <c r="B63" s="19"/>
      <c r="C63" s="19"/>
      <c r="D63" s="19"/>
      <c r="E63" s="19" t="s">
        <v>254</v>
      </c>
      <c r="F63" s="31">
        <v>1</v>
      </c>
      <c r="G63" s="19" t="s">
        <v>255</v>
      </c>
    </row>
    <row r="64" spans="1:7">
      <c r="A64" s="31"/>
      <c r="B64" s="19"/>
      <c r="C64" s="19"/>
      <c r="D64" s="19"/>
      <c r="E64" s="19" t="s">
        <v>256</v>
      </c>
      <c r="F64" s="31">
        <v>2</v>
      </c>
      <c r="G64" s="19" t="s">
        <v>257</v>
      </c>
    </row>
    <row r="65" spans="1:7">
      <c r="A65" s="31"/>
      <c r="B65" s="19"/>
      <c r="C65" s="19"/>
      <c r="D65" s="19"/>
      <c r="E65" s="19" t="s">
        <v>379</v>
      </c>
      <c r="F65" s="31">
        <v>3</v>
      </c>
      <c r="G65" s="19" t="s">
        <v>380</v>
      </c>
    </row>
    <row r="66" spans="1:7">
      <c r="A66" s="31"/>
      <c r="B66" s="19"/>
      <c r="C66" s="19"/>
      <c r="D66" s="19"/>
      <c r="E66" s="19" t="s">
        <v>381</v>
      </c>
      <c r="F66" s="31">
        <v>4</v>
      </c>
      <c r="G66" s="19" t="s">
        <v>382</v>
      </c>
    </row>
    <row r="67" spans="1:7">
      <c r="A67" s="31"/>
      <c r="B67" s="19"/>
      <c r="C67" s="19"/>
      <c r="D67" s="19"/>
      <c r="E67" s="19" t="s">
        <v>383</v>
      </c>
      <c r="F67" s="31">
        <v>5</v>
      </c>
      <c r="G67" s="19" t="s">
        <v>360</v>
      </c>
    </row>
    <row r="68" spans="1:7">
      <c r="A68" s="31" t="s">
        <v>232</v>
      </c>
      <c r="B68" s="19" t="s">
        <v>384</v>
      </c>
      <c r="C68" s="19" t="s">
        <v>37</v>
      </c>
      <c r="D68" s="19" t="s">
        <v>385</v>
      </c>
      <c r="E68" s="19" t="s">
        <v>365</v>
      </c>
      <c r="F68" s="38" t="s">
        <v>386</v>
      </c>
      <c r="G68" s="19" t="s">
        <v>387</v>
      </c>
    </row>
    <row r="69" spans="1:7">
      <c r="A69" s="31"/>
      <c r="B69" s="31"/>
      <c r="C69" s="31"/>
      <c r="D69" s="31"/>
      <c r="E69" s="19" t="s">
        <v>388</v>
      </c>
      <c r="F69" s="38" t="s">
        <v>389</v>
      </c>
      <c r="G69" s="19" t="s">
        <v>390</v>
      </c>
    </row>
    <row r="70" spans="1:7">
      <c r="A70" s="31"/>
      <c r="B70" s="31"/>
      <c r="C70" s="31"/>
      <c r="D70" s="31"/>
      <c r="E70" s="19" t="s">
        <v>391</v>
      </c>
      <c r="F70" s="38" t="s">
        <v>392</v>
      </c>
      <c r="G70" s="19" t="s">
        <v>393</v>
      </c>
    </row>
    <row r="71" spans="1:7">
      <c r="A71" s="31"/>
      <c r="B71" s="31"/>
      <c r="C71" s="31"/>
      <c r="D71" s="31"/>
      <c r="E71" s="19" t="s">
        <v>388</v>
      </c>
      <c r="F71" s="31">
        <v>2</v>
      </c>
      <c r="G71" s="19" t="s">
        <v>390</v>
      </c>
    </row>
    <row r="72" spans="1:7">
      <c r="A72" s="31" t="s">
        <v>232</v>
      </c>
      <c r="B72" s="19" t="s">
        <v>394</v>
      </c>
      <c r="C72" s="19" t="s">
        <v>37</v>
      </c>
      <c r="D72" s="19" t="s">
        <v>395</v>
      </c>
      <c r="E72" s="19" t="s">
        <v>396</v>
      </c>
      <c r="F72" s="31">
        <v>0</v>
      </c>
      <c r="G72" s="19" t="s">
        <v>366</v>
      </c>
    </row>
    <row r="73" spans="1:7">
      <c r="A73" s="31"/>
      <c r="B73" s="19"/>
      <c r="C73" s="19"/>
      <c r="D73" s="19"/>
      <c r="E73" s="19" t="s">
        <v>397</v>
      </c>
      <c r="F73" s="31">
        <v>1</v>
      </c>
      <c r="G73" s="19" t="s">
        <v>368</v>
      </c>
    </row>
    <row r="74" spans="1:7">
      <c r="A74" s="31" t="s">
        <v>232</v>
      </c>
      <c r="B74" s="19" t="s">
        <v>398</v>
      </c>
      <c r="C74" s="19" t="s">
        <v>37</v>
      </c>
      <c r="D74" s="19" t="s">
        <v>399</v>
      </c>
      <c r="E74" s="19" t="s">
        <v>245</v>
      </c>
      <c r="F74" s="31">
        <v>0</v>
      </c>
      <c r="G74" s="19" t="s">
        <v>255</v>
      </c>
    </row>
    <row r="75" spans="1:7">
      <c r="A75" s="31"/>
      <c r="B75" s="19"/>
      <c r="C75" s="19"/>
      <c r="D75" s="19"/>
      <c r="E75" s="19" t="s">
        <v>243</v>
      </c>
      <c r="F75" s="31">
        <v>1</v>
      </c>
      <c r="G75" s="19" t="s">
        <v>257</v>
      </c>
    </row>
    <row r="76" spans="1:7">
      <c r="A76" s="31" t="s">
        <v>232</v>
      </c>
      <c r="B76" s="19" t="s">
        <v>400</v>
      </c>
      <c r="C76" s="19" t="s">
        <v>37</v>
      </c>
      <c r="D76" s="19" t="s">
        <v>401</v>
      </c>
      <c r="E76" s="19" t="s">
        <v>402</v>
      </c>
      <c r="F76" s="31">
        <v>0</v>
      </c>
      <c r="G76" s="19" t="s">
        <v>403</v>
      </c>
    </row>
    <row r="77" spans="1:7">
      <c r="A77" s="31"/>
      <c r="B77" s="19"/>
      <c r="C77" s="19"/>
      <c r="D77" s="19"/>
      <c r="E77" s="19" t="s">
        <v>404</v>
      </c>
      <c r="F77" s="31">
        <v>1</v>
      </c>
      <c r="G77" s="19" t="s">
        <v>405</v>
      </c>
    </row>
    <row r="78" spans="1:7">
      <c r="A78" s="31"/>
      <c r="B78" s="19"/>
      <c r="C78" s="19"/>
      <c r="D78" s="19"/>
      <c r="E78" s="19" t="s">
        <v>406</v>
      </c>
      <c r="F78" s="31">
        <v>2</v>
      </c>
      <c r="G78" s="19" t="s">
        <v>407</v>
      </c>
    </row>
    <row r="79" spans="1:7">
      <c r="A79" s="31" t="s">
        <v>232</v>
      </c>
      <c r="B79" s="19" t="s">
        <v>408</v>
      </c>
      <c r="C79" s="19" t="s">
        <v>37</v>
      </c>
      <c r="D79" s="19" t="s">
        <v>409</v>
      </c>
      <c r="E79" s="19" t="s">
        <v>410</v>
      </c>
      <c r="F79" s="31">
        <v>0</v>
      </c>
      <c r="G79" s="19" t="s">
        <v>411</v>
      </c>
    </row>
    <row r="80" spans="1:7">
      <c r="A80" s="31"/>
      <c r="B80" s="19"/>
      <c r="C80" s="19"/>
      <c r="D80" s="19"/>
      <c r="E80" s="19" t="s">
        <v>369</v>
      </c>
      <c r="F80" s="31">
        <v>1</v>
      </c>
      <c r="G80" s="19" t="s">
        <v>370</v>
      </c>
    </row>
    <row r="81" spans="5:7">
      <c r="E81" s="19" t="s">
        <v>371</v>
      </c>
      <c r="F81" s="31">
        <v>2</v>
      </c>
      <c r="G81" s="19" t="s">
        <v>372</v>
      </c>
    </row>
    <row r="82" spans="5:7">
      <c r="E82" s="19" t="s">
        <v>373</v>
      </c>
      <c r="F82" s="31">
        <v>3</v>
      </c>
      <c r="G82" s="19" t="s">
        <v>374</v>
      </c>
    </row>
    <row r="83" spans="1:7">
      <c r="A83" s="31" t="s">
        <v>232</v>
      </c>
      <c r="B83" s="19" t="s">
        <v>412</v>
      </c>
      <c r="C83" s="19" t="s">
        <v>37</v>
      </c>
      <c r="D83" s="19" t="s">
        <v>413</v>
      </c>
      <c r="E83" s="19" t="s">
        <v>410</v>
      </c>
      <c r="F83" s="31">
        <v>0</v>
      </c>
      <c r="G83" s="19" t="s">
        <v>411</v>
      </c>
    </row>
    <row r="84" spans="1:7">
      <c r="A84" s="31"/>
      <c r="B84" s="19"/>
      <c r="C84" s="19"/>
      <c r="D84" s="19"/>
      <c r="E84" s="19" t="s">
        <v>414</v>
      </c>
      <c r="F84" s="31">
        <v>1</v>
      </c>
      <c r="G84" s="19" t="s">
        <v>415</v>
      </c>
    </row>
    <row r="85" spans="5:7">
      <c r="E85" s="19" t="s">
        <v>383</v>
      </c>
      <c r="F85" s="31">
        <v>2</v>
      </c>
      <c r="G85" s="19" t="s">
        <v>360</v>
      </c>
    </row>
    <row r="86" spans="1:7">
      <c r="A86" s="31" t="s">
        <v>232</v>
      </c>
      <c r="B86" s="19" t="s">
        <v>416</v>
      </c>
      <c r="C86" s="19" t="s">
        <v>37</v>
      </c>
      <c r="D86" s="19" t="s">
        <v>417</v>
      </c>
      <c r="E86" s="19" t="s">
        <v>418</v>
      </c>
      <c r="F86" s="31">
        <v>0</v>
      </c>
      <c r="G86" s="19" t="s">
        <v>419</v>
      </c>
    </row>
    <row r="87" spans="1:7">
      <c r="A87" s="31"/>
      <c r="B87" s="19"/>
      <c r="C87" s="19"/>
      <c r="D87" s="19"/>
      <c r="E87" s="19" t="s">
        <v>420</v>
      </c>
      <c r="F87" s="31">
        <v>1</v>
      </c>
      <c r="G87" s="19" t="s">
        <v>421</v>
      </c>
    </row>
    <row r="88" spans="1:7">
      <c r="A88" s="31"/>
      <c r="B88" s="19"/>
      <c r="C88" s="19"/>
      <c r="D88" s="19"/>
      <c r="E88" s="19" t="s">
        <v>422</v>
      </c>
      <c r="F88" s="31">
        <v>2</v>
      </c>
      <c r="G88" s="19" t="s">
        <v>423</v>
      </c>
    </row>
    <row r="89" spans="1:7">
      <c r="A89" s="31"/>
      <c r="B89" s="19"/>
      <c r="C89" s="19"/>
      <c r="D89" s="19"/>
      <c r="E89" s="19" t="s">
        <v>424</v>
      </c>
      <c r="F89" s="31">
        <v>3</v>
      </c>
      <c r="G89" s="19" t="s">
        <v>425</v>
      </c>
    </row>
    <row r="90" spans="1:7">
      <c r="A90" s="31" t="s">
        <v>232</v>
      </c>
      <c r="B90" s="19" t="s">
        <v>426</v>
      </c>
      <c r="C90" s="19" t="s">
        <v>37</v>
      </c>
      <c r="D90" s="19" t="s">
        <v>427</v>
      </c>
      <c r="E90" s="19" t="s">
        <v>428</v>
      </c>
      <c r="F90" s="31">
        <v>0</v>
      </c>
      <c r="G90" s="19" t="s">
        <v>429</v>
      </c>
    </row>
    <row r="91" spans="1:7">
      <c r="A91" s="31"/>
      <c r="B91" s="19"/>
      <c r="C91" s="19"/>
      <c r="D91" s="19"/>
      <c r="E91" s="19" t="s">
        <v>430</v>
      </c>
      <c r="F91" s="31">
        <v>1</v>
      </c>
      <c r="G91" s="19" t="s">
        <v>431</v>
      </c>
    </row>
    <row r="92" spans="5:7">
      <c r="E92" s="2" t="s">
        <v>432</v>
      </c>
      <c r="F92" s="1">
        <v>2</v>
      </c>
      <c r="G92" s="19" t="s">
        <v>433</v>
      </c>
    </row>
    <row r="93" spans="1:7">
      <c r="A93" s="31" t="s">
        <v>232</v>
      </c>
      <c r="B93" s="19" t="s">
        <v>434</v>
      </c>
      <c r="C93" s="19" t="s">
        <v>37</v>
      </c>
      <c r="D93" s="19" t="s">
        <v>435</v>
      </c>
      <c r="E93" s="19" t="s">
        <v>428</v>
      </c>
      <c r="F93" s="31">
        <v>0</v>
      </c>
      <c r="G93" s="19" t="s">
        <v>436</v>
      </c>
    </row>
    <row r="94" spans="1:7">
      <c r="A94" s="31"/>
      <c r="B94" s="19"/>
      <c r="C94" s="19"/>
      <c r="D94" s="19"/>
      <c r="E94" s="19" t="s">
        <v>430</v>
      </c>
      <c r="F94" s="31">
        <v>1</v>
      </c>
      <c r="G94" s="19" t="s">
        <v>437</v>
      </c>
    </row>
    <row r="95" spans="5:7">
      <c r="E95" s="2" t="s">
        <v>432</v>
      </c>
      <c r="F95" s="1">
        <v>2</v>
      </c>
      <c r="G95" s="19" t="s">
        <v>433</v>
      </c>
    </row>
    <row r="96" spans="1:7">
      <c r="A96" s="31" t="s">
        <v>232</v>
      </c>
      <c r="B96" s="19" t="s">
        <v>438</v>
      </c>
      <c r="C96" s="19" t="s">
        <v>37</v>
      </c>
      <c r="D96" s="19" t="s">
        <v>439</v>
      </c>
      <c r="E96" s="19" t="s">
        <v>440</v>
      </c>
      <c r="F96" s="31">
        <v>0</v>
      </c>
      <c r="G96" s="19" t="s">
        <v>441</v>
      </c>
    </row>
    <row r="97" spans="1:7">
      <c r="A97" s="31"/>
      <c r="B97" s="19"/>
      <c r="C97" s="19"/>
      <c r="D97" s="19"/>
      <c r="E97" s="19" t="s">
        <v>414</v>
      </c>
      <c r="F97" s="31">
        <v>1</v>
      </c>
      <c r="G97" s="19" t="s">
        <v>415</v>
      </c>
    </row>
    <row r="98" spans="1:7">
      <c r="A98" s="31" t="s">
        <v>232</v>
      </c>
      <c r="B98" s="19" t="s">
        <v>442</v>
      </c>
      <c r="C98" s="19" t="s">
        <v>37</v>
      </c>
      <c r="D98" s="2" t="s">
        <v>443</v>
      </c>
      <c r="E98" s="19" t="s">
        <v>444</v>
      </c>
      <c r="F98" s="31">
        <v>0</v>
      </c>
      <c r="G98" s="19" t="s">
        <v>445</v>
      </c>
    </row>
    <row r="99" spans="1:7">
      <c r="A99" s="31"/>
      <c r="B99" s="19"/>
      <c r="C99" s="19"/>
      <c r="D99" s="19"/>
      <c r="E99" s="19" t="s">
        <v>446</v>
      </c>
      <c r="F99" s="31">
        <v>1</v>
      </c>
      <c r="G99" s="19" t="s">
        <v>447</v>
      </c>
    </row>
    <row r="100" spans="5:7">
      <c r="E100" s="19" t="s">
        <v>448</v>
      </c>
      <c r="F100" s="31">
        <v>2</v>
      </c>
      <c r="G100" s="19" t="s">
        <v>449</v>
      </c>
    </row>
    <row r="101" spans="5:7">
      <c r="E101" s="2" t="s">
        <v>450</v>
      </c>
      <c r="F101" s="31">
        <v>3</v>
      </c>
      <c r="G101" s="2" t="s">
        <v>451</v>
      </c>
    </row>
    <row r="102" spans="1:7">
      <c r="A102" s="31" t="s">
        <v>232</v>
      </c>
      <c r="B102" s="19" t="s">
        <v>452</v>
      </c>
      <c r="C102" s="19" t="s">
        <v>37</v>
      </c>
      <c r="D102" s="2" t="s">
        <v>453</v>
      </c>
      <c r="E102" s="19" t="s">
        <v>454</v>
      </c>
      <c r="F102" s="31">
        <v>0</v>
      </c>
      <c r="G102" s="19" t="s">
        <v>455</v>
      </c>
    </row>
    <row r="103" spans="1:7">
      <c r="A103" s="31"/>
      <c r="B103" s="19"/>
      <c r="C103" s="19"/>
      <c r="D103" s="19"/>
      <c r="E103" s="2" t="s">
        <v>450</v>
      </c>
      <c r="F103" s="31">
        <v>1</v>
      </c>
      <c r="G103" s="2" t="s">
        <v>451</v>
      </c>
    </row>
    <row r="104" spans="1:7">
      <c r="A104" s="31" t="s">
        <v>232</v>
      </c>
      <c r="B104" s="19" t="s">
        <v>456</v>
      </c>
      <c r="C104" s="19" t="s">
        <v>37</v>
      </c>
      <c r="D104" s="2" t="s">
        <v>457</v>
      </c>
      <c r="E104" s="19" t="s">
        <v>458</v>
      </c>
      <c r="F104" s="31">
        <v>0</v>
      </c>
      <c r="G104" s="19" t="s">
        <v>459</v>
      </c>
    </row>
    <row r="105" spans="1:7">
      <c r="A105" s="31"/>
      <c r="B105" s="19"/>
      <c r="C105" s="19"/>
      <c r="D105" s="19"/>
      <c r="E105" s="2" t="s">
        <v>460</v>
      </c>
      <c r="F105" s="31">
        <v>1</v>
      </c>
      <c r="G105" s="2" t="s">
        <v>461</v>
      </c>
    </row>
    <row r="106" spans="1:7">
      <c r="A106" s="31" t="s">
        <v>232</v>
      </c>
      <c r="B106" s="19" t="s">
        <v>462</v>
      </c>
      <c r="C106" s="19" t="s">
        <v>37</v>
      </c>
      <c r="D106" s="2" t="s">
        <v>463</v>
      </c>
      <c r="E106" s="19" t="s">
        <v>464</v>
      </c>
      <c r="F106" s="31">
        <v>0</v>
      </c>
      <c r="G106" s="19" t="s">
        <v>465</v>
      </c>
    </row>
    <row r="107" spans="1:7">
      <c r="A107" s="31"/>
      <c r="B107" s="19"/>
      <c r="C107" s="19"/>
      <c r="D107" s="19"/>
      <c r="E107" s="19" t="s">
        <v>466</v>
      </c>
      <c r="F107" s="31">
        <v>1</v>
      </c>
      <c r="G107" s="2" t="s">
        <v>467</v>
      </c>
    </row>
    <row r="108" spans="5:7">
      <c r="E108" s="2" t="s">
        <v>468</v>
      </c>
      <c r="F108" s="1">
        <v>2</v>
      </c>
      <c r="G108" s="2" t="s">
        <v>469</v>
      </c>
    </row>
  </sheetData>
  <pageMargins left="0.699305555555556" right="0.699305555555556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L15"/>
  <sheetViews>
    <sheetView view="pageBreakPreview" zoomScaleNormal="100" zoomScaleSheetLayoutView="100" workbookViewId="0">
      <pane ySplit="6" topLeftCell="A7" activePane="bottomLeft" state="frozen"/>
      <selection/>
      <selection pane="bottomLeft" activeCell="A1" sqref="A1:B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471</v>
      </c>
      <c r="D1" s="5"/>
      <c r="E1" s="5"/>
      <c r="F1" s="5"/>
      <c r="G1" s="5"/>
      <c r="H1" s="5"/>
      <c r="I1" s="5"/>
      <c r="J1" s="5"/>
      <c r="K1" s="5"/>
      <c r="L1" s="18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/>
      <c r="D3" s="8" t="s">
        <v>474</v>
      </c>
      <c r="E3" s="10"/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4" si="0">ROW()-6</f>
        <v>1</v>
      </c>
      <c r="B7" s="2" t="s">
        <v>487</v>
      </c>
      <c r="C7" s="2" t="s">
        <v>487</v>
      </c>
      <c r="D7" s="2" t="s">
        <v>487</v>
      </c>
      <c r="E7" s="2" t="str">
        <f>VLOOKUP($D7,字段属性!$A$2:$B$798,2,FALSE)</f>
        <v>int(11)</v>
      </c>
      <c r="F7" s="1" t="s">
        <v>488</v>
      </c>
      <c r="I7" s="1" t="s">
        <v>489</v>
      </c>
      <c r="K7" s="3" t="s">
        <v>490</v>
      </c>
    </row>
    <row r="8" spans="1:11">
      <c r="A8" s="1">
        <f t="shared" si="0"/>
        <v>2</v>
      </c>
      <c r="B8" s="2" t="s">
        <v>491</v>
      </c>
      <c r="C8" s="2" t="s">
        <v>491</v>
      </c>
      <c r="D8" s="2" t="s">
        <v>492</v>
      </c>
      <c r="E8" s="2" t="e">
        <f>VLOOKUP($D8,字段属性!$A$2:$B$798,2,FALSE)</f>
        <v>#N/A</v>
      </c>
      <c r="K8" s="3" t="s">
        <v>493</v>
      </c>
    </row>
    <row r="9" spans="1:11">
      <c r="A9" s="1">
        <f t="shared" si="0"/>
        <v>3</v>
      </c>
      <c r="B9" s="2" t="s">
        <v>494</v>
      </c>
      <c r="C9" s="2" t="s">
        <v>494</v>
      </c>
      <c r="D9" s="2" t="s">
        <v>495</v>
      </c>
      <c r="E9" s="2" t="e">
        <f>VLOOKUP($D9,字段属性!$A$2:$B$798,2,FALSE)</f>
        <v>#N/A</v>
      </c>
      <c r="F9" s="1" t="s">
        <v>488</v>
      </c>
      <c r="K9" s="3" t="s">
        <v>496</v>
      </c>
    </row>
    <row r="10" spans="1:11">
      <c r="A10" s="1">
        <f t="shared" si="0"/>
        <v>4</v>
      </c>
      <c r="B10" s="2" t="s">
        <v>497</v>
      </c>
      <c r="C10" s="2" t="s">
        <v>497</v>
      </c>
      <c r="D10" s="2" t="s">
        <v>498</v>
      </c>
      <c r="E10" s="2" t="e">
        <f>VLOOKUP($D10,字段属性!$A$2:$B$798,2,FALSE)</f>
        <v>#N/A</v>
      </c>
      <c r="F10" s="1" t="s">
        <v>488</v>
      </c>
      <c r="K10" s="3" t="s">
        <v>499</v>
      </c>
    </row>
    <row r="11" spans="1:11">
      <c r="A11" s="1">
        <f t="shared" si="0"/>
        <v>5</v>
      </c>
      <c r="B11" s="2" t="s">
        <v>500</v>
      </c>
      <c r="C11" s="2" t="s">
        <v>500</v>
      </c>
      <c r="D11" s="2" t="s">
        <v>501</v>
      </c>
      <c r="E11" s="2" t="e">
        <f>VLOOKUP($D11,字段属性!$A$2:$B$798,2,FALSE)</f>
        <v>#N/A</v>
      </c>
      <c r="F11" s="1" t="s">
        <v>488</v>
      </c>
      <c r="K11" s="3" t="s">
        <v>502</v>
      </c>
    </row>
    <row r="12" spans="1:11">
      <c r="A12" s="1">
        <f t="shared" si="0"/>
        <v>6</v>
      </c>
      <c r="B12" s="2" t="s">
        <v>503</v>
      </c>
      <c r="C12" s="2" t="s">
        <v>503</v>
      </c>
      <c r="D12" s="2" t="s">
        <v>504</v>
      </c>
      <c r="E12" s="2" t="e">
        <f>VLOOKUP($D12,字段属性!$A$2:$B$798,2,FALSE)</f>
        <v>#N/A</v>
      </c>
      <c r="K12" s="3" t="s">
        <v>505</v>
      </c>
    </row>
    <row r="13" spans="1:11">
      <c r="A13" s="1">
        <f t="shared" si="0"/>
        <v>7</v>
      </c>
      <c r="B13" s="2" t="s">
        <v>506</v>
      </c>
      <c r="C13" s="2" t="s">
        <v>506</v>
      </c>
      <c r="D13" s="2" t="s">
        <v>507</v>
      </c>
      <c r="E13" s="2" t="e">
        <f>VLOOKUP($D13,字段属性!$A$2:$B$798,2,FALSE)</f>
        <v>#N/A</v>
      </c>
      <c r="K13" s="3" t="s">
        <v>508</v>
      </c>
    </row>
    <row r="14" spans="1:11">
      <c r="A14" s="1">
        <f t="shared" si="0"/>
        <v>8</v>
      </c>
      <c r="B14" s="2" t="s">
        <v>509</v>
      </c>
      <c r="C14" s="2" t="s">
        <v>509</v>
      </c>
      <c r="D14" s="2" t="s">
        <v>501</v>
      </c>
      <c r="E14" s="2" t="e">
        <f>VLOOKUP($D14,字段属性!$A$2:$B$798,2,FALSE)</f>
        <v>#N/A</v>
      </c>
      <c r="K14" s="3" t="s">
        <v>510</v>
      </c>
    </row>
    <row r="15" spans="1:11">
      <c r="A15" s="1">
        <f t="shared" ref="A15" si="1">ROW()-6</f>
        <v>9</v>
      </c>
      <c r="B15" s="2" t="s">
        <v>51</v>
      </c>
      <c r="C15" s="2" t="s">
        <v>511</v>
      </c>
      <c r="D15" s="2" t="s">
        <v>511</v>
      </c>
      <c r="E15" s="2" t="str">
        <f>VLOOKUP($D15,字段属性!$A$2:$B$798,2,FALSE)</f>
        <v>varchar(32)</v>
      </c>
      <c r="F15" s="1" t="s">
        <v>488</v>
      </c>
      <c r="G15" s="1">
        <v>1</v>
      </c>
      <c r="K15" s="3" t="s">
        <v>512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>
    <tabColor rgb="FF002060"/>
  </sheetPr>
  <dimension ref="A1:L19"/>
  <sheetViews>
    <sheetView view="pageBreakPreview" zoomScaleNormal="100" zoomScaleSheetLayoutView="100" workbookViewId="0">
      <pane ySplit="6" topLeftCell="A7" activePane="bottomLeft" state="frozen"/>
      <selection/>
      <selection pane="bottomLeft" activeCell="K18" sqref="K18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471</v>
      </c>
      <c r="D1" s="5"/>
      <c r="E1" s="5"/>
      <c r="F1" s="5"/>
      <c r="G1" s="5"/>
      <c r="H1" s="5"/>
      <c r="I1" s="5"/>
      <c r="J1" s="5"/>
      <c r="K1" s="5"/>
      <c r="L1" s="18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513</v>
      </c>
      <c r="D3" s="8" t="s">
        <v>474</v>
      </c>
      <c r="E3" s="10" t="s">
        <v>514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 t="s">
        <v>515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v>1</v>
      </c>
      <c r="B7" s="2" t="s">
        <v>487</v>
      </c>
      <c r="C7" s="2" t="s">
        <v>487</v>
      </c>
      <c r="D7" s="2" t="s">
        <v>487</v>
      </c>
      <c r="E7" s="2" t="s">
        <v>516</v>
      </c>
      <c r="F7" s="1" t="s">
        <v>488</v>
      </c>
      <c r="I7" s="1" t="s">
        <v>489</v>
      </c>
      <c r="K7" s="3" t="s">
        <v>490</v>
      </c>
    </row>
    <row r="8" spans="1:11">
      <c r="A8" s="1">
        <v>2</v>
      </c>
      <c r="B8" s="2" t="s">
        <v>491</v>
      </c>
      <c r="C8" s="2" t="s">
        <v>491</v>
      </c>
      <c r="D8" s="2" t="s">
        <v>492</v>
      </c>
      <c r="E8" s="2" t="s">
        <v>516</v>
      </c>
      <c r="K8" s="3" t="s">
        <v>493</v>
      </c>
    </row>
    <row r="9" spans="1:11">
      <c r="A9" s="1">
        <v>3</v>
      </c>
      <c r="B9" s="2" t="s">
        <v>494</v>
      </c>
      <c r="C9" s="2" t="s">
        <v>494</v>
      </c>
      <c r="D9" s="2" t="s">
        <v>495</v>
      </c>
      <c r="E9" s="2" t="s">
        <v>516</v>
      </c>
      <c r="F9" s="1" t="s">
        <v>488</v>
      </c>
      <c r="I9" s="26"/>
      <c r="K9" s="3" t="s">
        <v>496</v>
      </c>
    </row>
    <row r="10" s="2" customFormat="1" spans="1:12">
      <c r="A10" s="1">
        <v>4</v>
      </c>
      <c r="B10" s="2" t="s">
        <v>497</v>
      </c>
      <c r="C10" s="2" t="s">
        <v>497</v>
      </c>
      <c r="D10" s="2" t="s">
        <v>498</v>
      </c>
      <c r="E10" s="2" t="s">
        <v>516</v>
      </c>
      <c r="F10" s="1" t="s">
        <v>488</v>
      </c>
      <c r="G10" s="1"/>
      <c r="H10" s="1"/>
      <c r="I10" s="26"/>
      <c r="K10" s="3" t="s">
        <v>499</v>
      </c>
      <c r="L10" s="1"/>
    </row>
    <row r="11" s="2" customFormat="1" spans="1:12">
      <c r="A11" s="1">
        <v>5</v>
      </c>
      <c r="B11" s="2" t="s">
        <v>500</v>
      </c>
      <c r="C11" s="2" t="s">
        <v>500</v>
      </c>
      <c r="D11" s="2" t="s">
        <v>501</v>
      </c>
      <c r="E11" s="2" t="s">
        <v>517</v>
      </c>
      <c r="F11" s="1" t="s">
        <v>488</v>
      </c>
      <c r="G11" s="1"/>
      <c r="H11" s="1"/>
      <c r="I11" s="26"/>
      <c r="K11" s="3" t="s">
        <v>502</v>
      </c>
      <c r="L11" s="1"/>
    </row>
    <row r="12" s="2" customFormat="1" spans="1:12">
      <c r="A12" s="1">
        <v>6</v>
      </c>
      <c r="B12" s="2" t="s">
        <v>503</v>
      </c>
      <c r="C12" s="2" t="s">
        <v>503</v>
      </c>
      <c r="D12" s="2" t="s">
        <v>504</v>
      </c>
      <c r="E12" s="2" t="s">
        <v>516</v>
      </c>
      <c r="F12" s="1"/>
      <c r="G12" s="1"/>
      <c r="H12" s="1"/>
      <c r="I12" s="26"/>
      <c r="K12" s="3" t="s">
        <v>505</v>
      </c>
      <c r="L12" s="1"/>
    </row>
    <row r="13" spans="1:11">
      <c r="A13" s="1">
        <v>7</v>
      </c>
      <c r="B13" s="2" t="s">
        <v>506</v>
      </c>
      <c r="C13" s="2" t="s">
        <v>506</v>
      </c>
      <c r="D13" s="2" t="s">
        <v>507</v>
      </c>
      <c r="E13" s="2" t="s">
        <v>516</v>
      </c>
      <c r="K13" s="3" t="s">
        <v>508</v>
      </c>
    </row>
    <row r="14" spans="1:11">
      <c r="A14" s="1">
        <v>8</v>
      </c>
      <c r="B14" s="2" t="s">
        <v>509</v>
      </c>
      <c r="C14" s="2" t="s">
        <v>509</v>
      </c>
      <c r="D14" s="2" t="s">
        <v>501</v>
      </c>
      <c r="E14" s="2" t="s">
        <v>517</v>
      </c>
      <c r="K14" s="3" t="s">
        <v>510</v>
      </c>
    </row>
    <row r="15" spans="1:11">
      <c r="A15" s="1">
        <v>9</v>
      </c>
      <c r="B15" s="2" t="s">
        <v>51</v>
      </c>
      <c r="C15" s="2" t="s">
        <v>511</v>
      </c>
      <c r="D15" s="37" t="s">
        <v>511</v>
      </c>
      <c r="E15" s="2" t="s">
        <v>518</v>
      </c>
      <c r="F15" s="1" t="s">
        <v>488</v>
      </c>
      <c r="G15" s="1">
        <v>1</v>
      </c>
      <c r="K15" s="3" t="s">
        <v>512</v>
      </c>
    </row>
    <row r="16" spans="1:8">
      <c r="A16" s="1">
        <f>ROW()-6</f>
        <v>10</v>
      </c>
      <c r="B16" s="2" t="s">
        <v>519</v>
      </c>
      <c r="C16" s="37" t="s">
        <v>520</v>
      </c>
      <c r="D16" s="37" t="s">
        <v>520</v>
      </c>
      <c r="E16" s="2" t="e">
        <f>VLOOKUP($D16,字段属性!$A$2:$B$798,2,FALSE)</f>
        <v>#N/A</v>
      </c>
      <c r="F16" s="1" t="s">
        <v>488</v>
      </c>
      <c r="H16" s="1">
        <v>1</v>
      </c>
    </row>
    <row r="17" spans="1:9">
      <c r="A17" s="1">
        <f>ROW()-6</f>
        <v>11</v>
      </c>
      <c r="B17" s="2" t="s">
        <v>521</v>
      </c>
      <c r="C17" s="37" t="s">
        <v>522</v>
      </c>
      <c r="D17" s="37" t="s">
        <v>522</v>
      </c>
      <c r="E17" s="2" t="e">
        <f>VLOOKUP($D17,字段属性!$A$2:$B$798,2,FALSE)</f>
        <v>#N/A</v>
      </c>
      <c r="F17" s="1" t="s">
        <v>488</v>
      </c>
      <c r="H17" s="26"/>
      <c r="I17" s="1" t="s">
        <v>523</v>
      </c>
    </row>
    <row r="18" spans="1:11">
      <c r="A18" s="1">
        <f t="shared" ref="A18:A19" si="0">ROW()-6</f>
        <v>12</v>
      </c>
      <c r="B18" s="2" t="s">
        <v>524</v>
      </c>
      <c r="C18" s="2" t="s">
        <v>525</v>
      </c>
      <c r="D18" s="2" t="s">
        <v>526</v>
      </c>
      <c r="E18" s="2" t="e">
        <f>VLOOKUP($D18,字段属性!$A$2:$B$798,2,FALSE)</f>
        <v>#N/A</v>
      </c>
      <c r="K18" s="3" t="s">
        <v>527</v>
      </c>
    </row>
    <row r="19" ht="45" spans="1:11">
      <c r="A19" s="1">
        <f t="shared" si="0"/>
        <v>13</v>
      </c>
      <c r="B19" s="2" t="s">
        <v>38</v>
      </c>
      <c r="C19" s="2" t="s">
        <v>528</v>
      </c>
      <c r="D19" s="2" t="s">
        <v>36</v>
      </c>
      <c r="E19" s="2" t="str">
        <f>VLOOKUP($D19,字段属性!$A$2:$B$798,2,FALSE)</f>
        <v>char(1)</v>
      </c>
      <c r="F19" s="1" t="s">
        <v>488</v>
      </c>
      <c r="I19" s="26"/>
      <c r="K19" s="3" t="s">
        <v>529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>
    <tabColor rgb="FF002060"/>
  </sheetPr>
  <dimension ref="A1:L20"/>
  <sheetViews>
    <sheetView view="pageBreakPreview" zoomScaleNormal="100" zoomScaleSheetLayoutView="100" workbookViewId="0">
      <pane ySplit="6" topLeftCell="A7" activePane="bottomLeft" state="frozen"/>
      <selection/>
      <selection pane="bottomLeft" activeCell="K18" sqref="K18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471</v>
      </c>
      <c r="D1" s="5"/>
      <c r="E1" s="5"/>
      <c r="F1" s="5"/>
      <c r="G1" s="5"/>
      <c r="H1" s="5"/>
      <c r="I1" s="5"/>
      <c r="J1" s="5"/>
      <c r="K1" s="5"/>
      <c r="L1" s="18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530</v>
      </c>
      <c r="D3" s="8" t="s">
        <v>474</v>
      </c>
      <c r="E3" s="10" t="s">
        <v>531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 t="s">
        <v>532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v>1</v>
      </c>
      <c r="B7" s="2" t="s">
        <v>487</v>
      </c>
      <c r="C7" s="2" t="s">
        <v>487</v>
      </c>
      <c r="D7" s="2" t="s">
        <v>487</v>
      </c>
      <c r="E7" s="2" t="s">
        <v>516</v>
      </c>
      <c r="F7" s="1" t="s">
        <v>488</v>
      </c>
      <c r="I7" s="1" t="s">
        <v>489</v>
      </c>
      <c r="K7" s="3" t="s">
        <v>490</v>
      </c>
    </row>
    <row r="8" spans="1:11">
      <c r="A8" s="1">
        <v>2</v>
      </c>
      <c r="B8" s="2" t="s">
        <v>491</v>
      </c>
      <c r="C8" s="2" t="s">
        <v>491</v>
      </c>
      <c r="D8" s="2" t="s">
        <v>492</v>
      </c>
      <c r="E8" s="2" t="s">
        <v>516</v>
      </c>
      <c r="K8" s="3" t="s">
        <v>493</v>
      </c>
    </row>
    <row r="9" s="2" customFormat="1" spans="1:12">
      <c r="A9" s="1">
        <v>3</v>
      </c>
      <c r="B9" s="2" t="s">
        <v>494</v>
      </c>
      <c r="C9" s="2" t="s">
        <v>494</v>
      </c>
      <c r="D9" s="2" t="s">
        <v>495</v>
      </c>
      <c r="E9" s="2" t="s">
        <v>516</v>
      </c>
      <c r="F9" s="1" t="s">
        <v>488</v>
      </c>
      <c r="G9" s="1"/>
      <c r="H9" s="1"/>
      <c r="I9" s="1"/>
      <c r="K9" s="3" t="s">
        <v>496</v>
      </c>
      <c r="L9" s="1"/>
    </row>
    <row r="10" s="2" customFormat="1" spans="1:12">
      <c r="A10" s="1">
        <v>4</v>
      </c>
      <c r="B10" s="2" t="s">
        <v>497</v>
      </c>
      <c r="C10" s="2" t="s">
        <v>497</v>
      </c>
      <c r="D10" s="2" t="s">
        <v>498</v>
      </c>
      <c r="E10" s="2" t="s">
        <v>516</v>
      </c>
      <c r="F10" s="1" t="s">
        <v>488</v>
      </c>
      <c r="G10" s="1"/>
      <c r="H10" s="1"/>
      <c r="I10" s="1"/>
      <c r="K10" s="3" t="s">
        <v>499</v>
      </c>
      <c r="L10" s="1"/>
    </row>
    <row r="11" s="2" customFormat="1" spans="1:12">
      <c r="A11" s="1">
        <v>5</v>
      </c>
      <c r="B11" s="2" t="s">
        <v>500</v>
      </c>
      <c r="C11" s="2" t="s">
        <v>500</v>
      </c>
      <c r="D11" s="2" t="s">
        <v>501</v>
      </c>
      <c r="E11" s="2" t="s">
        <v>517</v>
      </c>
      <c r="F11" s="1" t="s">
        <v>488</v>
      </c>
      <c r="G11" s="1"/>
      <c r="H11" s="1"/>
      <c r="I11" s="1"/>
      <c r="K11" s="3" t="s">
        <v>502</v>
      </c>
      <c r="L11" s="1"/>
    </row>
    <row r="12" spans="1:11">
      <c r="A12" s="1">
        <v>6</v>
      </c>
      <c r="B12" s="2" t="s">
        <v>503</v>
      </c>
      <c r="C12" s="2" t="s">
        <v>503</v>
      </c>
      <c r="D12" s="2" t="s">
        <v>504</v>
      </c>
      <c r="E12" s="2" t="s">
        <v>516</v>
      </c>
      <c r="I12" s="26"/>
      <c r="K12" s="3" t="s">
        <v>505</v>
      </c>
    </row>
    <row r="13" spans="1:11">
      <c r="A13" s="1">
        <v>7</v>
      </c>
      <c r="B13" s="2" t="s">
        <v>506</v>
      </c>
      <c r="C13" s="2" t="s">
        <v>506</v>
      </c>
      <c r="D13" s="2" t="s">
        <v>507</v>
      </c>
      <c r="E13" s="2" t="s">
        <v>516</v>
      </c>
      <c r="K13" s="3" t="s">
        <v>508</v>
      </c>
    </row>
    <row r="14" spans="1:11">
      <c r="A14" s="1">
        <v>8</v>
      </c>
      <c r="B14" s="2" t="s">
        <v>509</v>
      </c>
      <c r="C14" s="2" t="s">
        <v>509</v>
      </c>
      <c r="D14" s="2" t="s">
        <v>501</v>
      </c>
      <c r="E14" s="2" t="s">
        <v>517</v>
      </c>
      <c r="K14" s="3" t="s">
        <v>510</v>
      </c>
    </row>
    <row r="15" spans="1:11">
      <c r="A15" s="1">
        <v>9</v>
      </c>
      <c r="B15" s="2" t="s">
        <v>51</v>
      </c>
      <c r="C15" s="2" t="s">
        <v>511</v>
      </c>
      <c r="D15" s="37" t="s">
        <v>511</v>
      </c>
      <c r="E15" s="2" t="s">
        <v>518</v>
      </c>
      <c r="F15" s="1" t="s">
        <v>488</v>
      </c>
      <c r="G15" s="1">
        <v>1</v>
      </c>
      <c r="K15" s="3" t="s">
        <v>512</v>
      </c>
    </row>
    <row r="16" spans="1:9">
      <c r="A16" s="1">
        <f>ROW()-6</f>
        <v>10</v>
      </c>
      <c r="B16" s="2" t="s">
        <v>519</v>
      </c>
      <c r="C16" s="37" t="s">
        <v>520</v>
      </c>
      <c r="D16" s="37" t="s">
        <v>520</v>
      </c>
      <c r="E16" s="2" t="e">
        <f>VLOOKUP($D16,字段属性!$A$2:$B$798,2,FALSE)</f>
        <v>#N/A</v>
      </c>
      <c r="F16" s="1" t="s">
        <v>488</v>
      </c>
      <c r="I16" s="1" t="s">
        <v>523</v>
      </c>
    </row>
    <row r="17" spans="1:8">
      <c r="A17" s="1">
        <f>ROW()-6</f>
        <v>11</v>
      </c>
      <c r="B17" s="2" t="s">
        <v>533</v>
      </c>
      <c r="C17" s="37" t="s">
        <v>534</v>
      </c>
      <c r="D17" s="37" t="s">
        <v>534</v>
      </c>
      <c r="E17" s="2" t="e">
        <f>VLOOKUP($D17,字段属性!$A$2:$B$798,2,FALSE)</f>
        <v>#N/A</v>
      </c>
      <c r="F17" s="1" t="s">
        <v>488</v>
      </c>
      <c r="H17" s="26">
        <v>1</v>
      </c>
    </row>
    <row r="18" spans="1:9">
      <c r="A18" s="1">
        <f t="shared" ref="A18:A20" si="0">ROW()-6</f>
        <v>12</v>
      </c>
      <c r="B18" s="2" t="s">
        <v>535</v>
      </c>
      <c r="C18" s="2" t="s">
        <v>536</v>
      </c>
      <c r="D18" s="2" t="s">
        <v>536</v>
      </c>
      <c r="E18" s="2" t="e">
        <f>VLOOKUP($D18,字段属性!$A$2:$B$798,2,FALSE)</f>
        <v>#N/A</v>
      </c>
      <c r="F18" s="1" t="s">
        <v>488</v>
      </c>
      <c r="I18" s="1" t="s">
        <v>537</v>
      </c>
    </row>
    <row r="19" spans="1:11">
      <c r="A19" s="1">
        <f t="shared" si="0"/>
        <v>13</v>
      </c>
      <c r="B19" s="2" t="s">
        <v>538</v>
      </c>
      <c r="C19" s="2" t="s">
        <v>539</v>
      </c>
      <c r="D19" s="2" t="s">
        <v>526</v>
      </c>
      <c r="E19" s="2" t="e">
        <f>VLOOKUP($D19,字段属性!$A$2:$B$798,2,FALSE)</f>
        <v>#N/A</v>
      </c>
      <c r="I19" s="26"/>
      <c r="K19" s="3" t="s">
        <v>527</v>
      </c>
    </row>
    <row r="20" ht="45" spans="1:11">
      <c r="A20" s="1">
        <f t="shared" si="0"/>
        <v>14</v>
      </c>
      <c r="B20" s="2" t="s">
        <v>38</v>
      </c>
      <c r="C20" s="2" t="s">
        <v>528</v>
      </c>
      <c r="D20" s="2" t="s">
        <v>36</v>
      </c>
      <c r="E20" s="2" t="str">
        <f>VLOOKUP($D20,字段属性!$A$2:$B$798,2,FALSE)</f>
        <v>char(1)</v>
      </c>
      <c r="F20" s="1" t="s">
        <v>488</v>
      </c>
      <c r="K20" s="3" t="s">
        <v>529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>
    <tabColor rgb="FF002060"/>
  </sheetPr>
  <dimension ref="A1:L20"/>
  <sheetViews>
    <sheetView view="pageBreakPreview" zoomScaleNormal="100" zoomScaleSheetLayoutView="100" workbookViewId="0">
      <pane ySplit="6" topLeftCell="A7" activePane="bottomLeft" state="frozen"/>
      <selection/>
      <selection pane="bottomLeft" activeCell="K18" sqref="K18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471</v>
      </c>
      <c r="D1" s="5"/>
      <c r="E1" s="5"/>
      <c r="F1" s="5"/>
      <c r="G1" s="5"/>
      <c r="H1" s="5"/>
      <c r="I1" s="5"/>
      <c r="J1" s="5"/>
      <c r="K1" s="5"/>
      <c r="L1" s="18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540</v>
      </c>
      <c r="D3" s="8" t="s">
        <v>474</v>
      </c>
      <c r="E3" s="10" t="s">
        <v>541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 t="s">
        <v>542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v>1</v>
      </c>
      <c r="B7" s="2" t="s">
        <v>487</v>
      </c>
      <c r="C7" s="2" t="s">
        <v>487</v>
      </c>
      <c r="D7" s="2" t="s">
        <v>487</v>
      </c>
      <c r="E7" s="2" t="s">
        <v>516</v>
      </c>
      <c r="F7" s="1" t="s">
        <v>488</v>
      </c>
      <c r="I7" s="1" t="s">
        <v>489</v>
      </c>
      <c r="K7" s="3" t="s">
        <v>490</v>
      </c>
    </row>
    <row r="8" spans="1:11">
      <c r="A8" s="1">
        <v>2</v>
      </c>
      <c r="B8" s="2" t="s">
        <v>491</v>
      </c>
      <c r="C8" s="2" t="s">
        <v>491</v>
      </c>
      <c r="D8" s="2" t="s">
        <v>492</v>
      </c>
      <c r="E8" s="2" t="s">
        <v>516</v>
      </c>
      <c r="K8" s="3" t="s">
        <v>493</v>
      </c>
    </row>
    <row r="9" s="2" customFormat="1" spans="1:12">
      <c r="A9" s="1">
        <v>3</v>
      </c>
      <c r="B9" s="2" t="s">
        <v>494</v>
      </c>
      <c r="C9" s="2" t="s">
        <v>494</v>
      </c>
      <c r="D9" s="2" t="s">
        <v>495</v>
      </c>
      <c r="E9" s="2" t="s">
        <v>516</v>
      </c>
      <c r="F9" s="1" t="s">
        <v>488</v>
      </c>
      <c r="G9" s="1"/>
      <c r="H9" s="1"/>
      <c r="I9" s="1"/>
      <c r="K9" s="3" t="s">
        <v>496</v>
      </c>
      <c r="L9" s="1"/>
    </row>
    <row r="10" s="2" customFormat="1" spans="1:12">
      <c r="A10" s="1">
        <v>4</v>
      </c>
      <c r="B10" s="2" t="s">
        <v>497</v>
      </c>
      <c r="C10" s="2" t="s">
        <v>497</v>
      </c>
      <c r="D10" s="2" t="s">
        <v>498</v>
      </c>
      <c r="E10" s="2" t="s">
        <v>516</v>
      </c>
      <c r="F10" s="1" t="s">
        <v>488</v>
      </c>
      <c r="G10" s="1"/>
      <c r="H10" s="1"/>
      <c r="I10" s="1"/>
      <c r="K10" s="3" t="s">
        <v>499</v>
      </c>
      <c r="L10" s="1"/>
    </row>
    <row r="11" s="2" customFormat="1" spans="1:12">
      <c r="A11" s="1">
        <v>5</v>
      </c>
      <c r="B11" s="2" t="s">
        <v>500</v>
      </c>
      <c r="C11" s="2" t="s">
        <v>500</v>
      </c>
      <c r="D11" s="2" t="s">
        <v>501</v>
      </c>
      <c r="E11" s="2" t="s">
        <v>517</v>
      </c>
      <c r="F11" s="1" t="s">
        <v>488</v>
      </c>
      <c r="G11" s="1"/>
      <c r="H11" s="1"/>
      <c r="I11" s="1"/>
      <c r="K11" s="3" t="s">
        <v>502</v>
      </c>
      <c r="L11" s="1"/>
    </row>
    <row r="12" spans="1:11">
      <c r="A12" s="1">
        <v>6</v>
      </c>
      <c r="B12" s="2" t="s">
        <v>503</v>
      </c>
      <c r="C12" s="2" t="s">
        <v>503</v>
      </c>
      <c r="D12" s="2" t="s">
        <v>504</v>
      </c>
      <c r="E12" s="2" t="s">
        <v>516</v>
      </c>
      <c r="I12" s="26"/>
      <c r="K12" s="3" t="s">
        <v>505</v>
      </c>
    </row>
    <row r="13" spans="1:11">
      <c r="A13" s="1">
        <v>7</v>
      </c>
      <c r="B13" s="2" t="s">
        <v>506</v>
      </c>
      <c r="C13" s="2" t="s">
        <v>506</v>
      </c>
      <c r="D13" s="2" t="s">
        <v>507</v>
      </c>
      <c r="E13" s="2" t="s">
        <v>516</v>
      </c>
      <c r="K13" s="3" t="s">
        <v>508</v>
      </c>
    </row>
    <row r="14" spans="1:11">
      <c r="A14" s="1">
        <v>8</v>
      </c>
      <c r="B14" s="2" t="s">
        <v>509</v>
      </c>
      <c r="C14" s="2" t="s">
        <v>509</v>
      </c>
      <c r="D14" s="2" t="s">
        <v>501</v>
      </c>
      <c r="E14" s="2" t="s">
        <v>517</v>
      </c>
      <c r="K14" s="3" t="s">
        <v>510</v>
      </c>
    </row>
    <row r="15" spans="1:11">
      <c r="A15" s="1">
        <v>9</v>
      </c>
      <c r="B15" s="2" t="s">
        <v>51</v>
      </c>
      <c r="C15" s="2" t="s">
        <v>511</v>
      </c>
      <c r="D15" s="37" t="s">
        <v>511</v>
      </c>
      <c r="E15" s="2" t="s">
        <v>518</v>
      </c>
      <c r="F15" s="1" t="s">
        <v>488</v>
      </c>
      <c r="G15" s="1">
        <v>1</v>
      </c>
      <c r="K15" s="3" t="s">
        <v>512</v>
      </c>
    </row>
    <row r="16" spans="1:9">
      <c r="A16" s="1">
        <f>ROW()-6</f>
        <v>10</v>
      </c>
      <c r="B16" s="2" t="s">
        <v>533</v>
      </c>
      <c r="C16" s="37" t="s">
        <v>534</v>
      </c>
      <c r="D16" s="37" t="s">
        <v>534</v>
      </c>
      <c r="E16" s="2" t="e">
        <f>VLOOKUP($D16,字段属性!$A$2:$B$798,2,FALSE)</f>
        <v>#N/A</v>
      </c>
      <c r="F16" s="1" t="s">
        <v>488</v>
      </c>
      <c r="I16" s="1" t="s">
        <v>523</v>
      </c>
    </row>
    <row r="17" spans="1:8">
      <c r="A17" s="1">
        <f>ROW()-6</f>
        <v>11</v>
      </c>
      <c r="B17" s="2" t="s">
        <v>543</v>
      </c>
      <c r="C17" s="37" t="s">
        <v>544</v>
      </c>
      <c r="D17" s="37" t="s">
        <v>544</v>
      </c>
      <c r="E17" s="2" t="e">
        <f>VLOOKUP($D17,字段属性!$A$2:$B$798,2,FALSE)</f>
        <v>#N/A</v>
      </c>
      <c r="F17" s="1" t="s">
        <v>488</v>
      </c>
      <c r="H17" s="26">
        <v>1</v>
      </c>
    </row>
    <row r="18" spans="1:9">
      <c r="A18" s="1">
        <f t="shared" ref="A18:A20" si="0">ROW()-6</f>
        <v>12</v>
      </c>
      <c r="B18" s="2" t="s">
        <v>545</v>
      </c>
      <c r="C18" s="2" t="s">
        <v>546</v>
      </c>
      <c r="D18" s="2" t="s">
        <v>546</v>
      </c>
      <c r="E18" s="2" t="e">
        <f>VLOOKUP($D18,字段属性!$A$2:$B$798,2,FALSE)</f>
        <v>#N/A</v>
      </c>
      <c r="F18" s="1" t="s">
        <v>488</v>
      </c>
      <c r="I18" s="1" t="s">
        <v>537</v>
      </c>
    </row>
    <row r="19" spans="1:11">
      <c r="A19" s="1">
        <f t="shared" si="0"/>
        <v>13</v>
      </c>
      <c r="B19" s="2" t="s">
        <v>547</v>
      </c>
      <c r="C19" s="2" t="s">
        <v>548</v>
      </c>
      <c r="D19" s="2" t="s">
        <v>526</v>
      </c>
      <c r="E19" s="2" t="e">
        <f>VLOOKUP($D19,字段属性!$A$2:$B$798,2,FALSE)</f>
        <v>#N/A</v>
      </c>
      <c r="I19" s="26"/>
      <c r="K19" s="3" t="s">
        <v>527</v>
      </c>
    </row>
    <row r="20" ht="45" spans="1:11">
      <c r="A20" s="1">
        <f t="shared" si="0"/>
        <v>14</v>
      </c>
      <c r="B20" s="2" t="s">
        <v>38</v>
      </c>
      <c r="C20" s="2" t="s">
        <v>528</v>
      </c>
      <c r="D20" s="2" t="s">
        <v>36</v>
      </c>
      <c r="E20" s="2" t="str">
        <f>VLOOKUP($D20,字段属性!$A$2:$B$798,2,FALSE)</f>
        <v>char(1)</v>
      </c>
      <c r="F20" s="1" t="s">
        <v>488</v>
      </c>
      <c r="K20" s="3" t="s">
        <v>529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>
    <tabColor rgb="FF002060"/>
  </sheetPr>
  <dimension ref="A1:L22"/>
  <sheetViews>
    <sheetView view="pageBreakPreview" zoomScaleNormal="100" zoomScaleSheetLayoutView="100" workbookViewId="0">
      <pane ySplit="6" topLeftCell="A7" activePane="bottomLeft" state="frozen"/>
      <selection/>
      <selection pane="bottomLeft" activeCell="K18" sqref="K18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471</v>
      </c>
      <c r="D1" s="5"/>
      <c r="E1" s="5"/>
      <c r="F1" s="5"/>
      <c r="G1" s="5"/>
      <c r="H1" s="5"/>
      <c r="I1" s="5"/>
      <c r="J1" s="5"/>
      <c r="K1" s="5"/>
      <c r="L1" s="18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549</v>
      </c>
      <c r="D3" s="8" t="s">
        <v>474</v>
      </c>
      <c r="E3" s="10" t="s">
        <v>550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 t="s">
        <v>551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v>1</v>
      </c>
      <c r="B7" s="2" t="s">
        <v>487</v>
      </c>
      <c r="C7" s="2" t="s">
        <v>487</v>
      </c>
      <c r="D7" s="2" t="s">
        <v>487</v>
      </c>
      <c r="E7" s="2" t="s">
        <v>516</v>
      </c>
      <c r="F7" s="1" t="s">
        <v>488</v>
      </c>
      <c r="I7" s="1" t="s">
        <v>489</v>
      </c>
      <c r="K7" s="3" t="s">
        <v>490</v>
      </c>
    </row>
    <row r="8" spans="1:11">
      <c r="A8" s="1">
        <v>2</v>
      </c>
      <c r="B8" s="2" t="s">
        <v>491</v>
      </c>
      <c r="C8" s="2" t="s">
        <v>491</v>
      </c>
      <c r="D8" s="2" t="s">
        <v>492</v>
      </c>
      <c r="E8" s="2" t="s">
        <v>516</v>
      </c>
      <c r="K8" s="3" t="s">
        <v>493</v>
      </c>
    </row>
    <row r="9" s="2" customFormat="1" spans="1:12">
      <c r="A9" s="1">
        <v>3</v>
      </c>
      <c r="B9" s="2" t="s">
        <v>494</v>
      </c>
      <c r="C9" s="2" t="s">
        <v>494</v>
      </c>
      <c r="D9" s="2" t="s">
        <v>495</v>
      </c>
      <c r="E9" s="2" t="s">
        <v>516</v>
      </c>
      <c r="F9" s="1" t="s">
        <v>488</v>
      </c>
      <c r="G9" s="1"/>
      <c r="H9" s="1"/>
      <c r="I9" s="1"/>
      <c r="K9" s="3" t="s">
        <v>496</v>
      </c>
      <c r="L9" s="1"/>
    </row>
    <row r="10" s="2" customFormat="1" spans="1:12">
      <c r="A10" s="1">
        <v>4</v>
      </c>
      <c r="B10" s="2" t="s">
        <v>497</v>
      </c>
      <c r="C10" s="2" t="s">
        <v>497</v>
      </c>
      <c r="D10" s="2" t="s">
        <v>498</v>
      </c>
      <c r="E10" s="2" t="s">
        <v>516</v>
      </c>
      <c r="F10" s="1" t="s">
        <v>488</v>
      </c>
      <c r="G10" s="1"/>
      <c r="H10" s="1"/>
      <c r="I10" s="1"/>
      <c r="K10" s="3" t="s">
        <v>499</v>
      </c>
      <c r="L10" s="1"/>
    </row>
    <row r="11" s="2" customFormat="1" spans="1:12">
      <c r="A11" s="1">
        <v>5</v>
      </c>
      <c r="B11" s="2" t="s">
        <v>500</v>
      </c>
      <c r="C11" s="2" t="s">
        <v>500</v>
      </c>
      <c r="D11" s="2" t="s">
        <v>501</v>
      </c>
      <c r="E11" s="2" t="s">
        <v>517</v>
      </c>
      <c r="F11" s="1" t="s">
        <v>488</v>
      </c>
      <c r="G11" s="1"/>
      <c r="H11" s="1"/>
      <c r="I11" s="1"/>
      <c r="K11" s="3" t="s">
        <v>502</v>
      </c>
      <c r="L11" s="1"/>
    </row>
    <row r="12" spans="1:11">
      <c r="A12" s="1">
        <v>6</v>
      </c>
      <c r="B12" s="2" t="s">
        <v>503</v>
      </c>
      <c r="C12" s="2" t="s">
        <v>503</v>
      </c>
      <c r="D12" s="2" t="s">
        <v>504</v>
      </c>
      <c r="E12" s="2" t="s">
        <v>516</v>
      </c>
      <c r="I12" s="26"/>
      <c r="K12" s="3" t="s">
        <v>505</v>
      </c>
    </row>
    <row r="13" spans="1:11">
      <c r="A13" s="1">
        <v>7</v>
      </c>
      <c r="B13" s="2" t="s">
        <v>506</v>
      </c>
      <c r="C13" s="2" t="s">
        <v>506</v>
      </c>
      <c r="D13" s="2" t="s">
        <v>507</v>
      </c>
      <c r="E13" s="2" t="s">
        <v>516</v>
      </c>
      <c r="K13" s="3" t="s">
        <v>508</v>
      </c>
    </row>
    <row r="14" spans="1:11">
      <c r="A14" s="1">
        <v>8</v>
      </c>
      <c r="B14" s="2" t="s">
        <v>509</v>
      </c>
      <c r="C14" s="2" t="s">
        <v>509</v>
      </c>
      <c r="D14" s="2" t="s">
        <v>501</v>
      </c>
      <c r="E14" s="2" t="s">
        <v>517</v>
      </c>
      <c r="K14" s="3" t="s">
        <v>510</v>
      </c>
    </row>
    <row r="15" spans="1:11">
      <c r="A15" s="1">
        <v>9</v>
      </c>
      <c r="B15" s="2" t="s">
        <v>51</v>
      </c>
      <c r="C15" s="2" t="s">
        <v>511</v>
      </c>
      <c r="D15" s="37" t="s">
        <v>511</v>
      </c>
      <c r="E15" s="2" t="s">
        <v>518</v>
      </c>
      <c r="F15" s="1" t="s">
        <v>488</v>
      </c>
      <c r="G15" s="1">
        <v>1</v>
      </c>
      <c r="K15" s="3" t="s">
        <v>512</v>
      </c>
    </row>
    <row r="16" spans="1:8">
      <c r="A16" s="1">
        <f>ROW()-6</f>
        <v>10</v>
      </c>
      <c r="B16" s="2" t="s">
        <v>527</v>
      </c>
      <c r="C16" s="37" t="s">
        <v>526</v>
      </c>
      <c r="D16" s="37" t="s">
        <v>526</v>
      </c>
      <c r="E16" s="2" t="e">
        <f>VLOOKUP($D16,字段属性!$A$2:$B$798,2,FALSE)</f>
        <v>#N/A</v>
      </c>
      <c r="F16" s="1" t="s">
        <v>488</v>
      </c>
      <c r="H16" s="1">
        <v>1</v>
      </c>
    </row>
    <row r="17" spans="1:8">
      <c r="A17" s="1">
        <f>ROW()-6</f>
        <v>11</v>
      </c>
      <c r="B17" s="2" t="s">
        <v>519</v>
      </c>
      <c r="C17" s="37" t="s">
        <v>520</v>
      </c>
      <c r="D17" s="37" t="s">
        <v>520</v>
      </c>
      <c r="E17" s="2" t="e">
        <f>VLOOKUP($D17,字段属性!$A$2:$B$798,2,FALSE)</f>
        <v>#N/A</v>
      </c>
      <c r="H17" s="26"/>
    </row>
    <row r="18" spans="1:5">
      <c r="A18" s="1">
        <f t="shared" ref="A18:A22" si="0">ROW()-6</f>
        <v>12</v>
      </c>
      <c r="B18" s="2" t="s">
        <v>533</v>
      </c>
      <c r="C18" s="37" t="s">
        <v>534</v>
      </c>
      <c r="D18" s="37" t="s">
        <v>534</v>
      </c>
      <c r="E18" s="2" t="e">
        <f>VLOOKUP($D18,字段属性!$A$2:$B$798,2,FALSE)</f>
        <v>#N/A</v>
      </c>
    </row>
    <row r="19" spans="1:9">
      <c r="A19" s="1">
        <f t="shared" si="0"/>
        <v>13</v>
      </c>
      <c r="B19" s="2" t="s">
        <v>543</v>
      </c>
      <c r="C19" s="37" t="s">
        <v>544</v>
      </c>
      <c r="D19" s="37" t="s">
        <v>544</v>
      </c>
      <c r="E19" s="2" t="e">
        <f>VLOOKUP($D19,字段属性!$A$2:$B$798,2,FALSE)</f>
        <v>#N/A</v>
      </c>
      <c r="I19" s="26"/>
    </row>
    <row r="20" spans="1:6">
      <c r="A20" s="1">
        <f t="shared" si="0"/>
        <v>14</v>
      </c>
      <c r="B20" s="2" t="s">
        <v>552</v>
      </c>
      <c r="C20" s="2" t="s">
        <v>553</v>
      </c>
      <c r="D20" s="2" t="s">
        <v>554</v>
      </c>
      <c r="E20" s="2" t="e">
        <f>VLOOKUP($D20,字段属性!$A$2:$B$798,2,FALSE)</f>
        <v>#N/A</v>
      </c>
      <c r="F20" s="1" t="s">
        <v>488</v>
      </c>
    </row>
    <row r="21" ht="45" spans="1:11">
      <c r="A21" s="1">
        <f t="shared" si="0"/>
        <v>15</v>
      </c>
      <c r="B21" s="2" t="s">
        <v>38</v>
      </c>
      <c r="C21" s="2" t="s">
        <v>528</v>
      </c>
      <c r="D21" s="2" t="s">
        <v>36</v>
      </c>
      <c r="E21" s="2" t="str">
        <f>VLOOKUP($D21,字段属性!$A$2:$B$798,2,FALSE)</f>
        <v>char(1)</v>
      </c>
      <c r="K21" s="3" t="s">
        <v>529</v>
      </c>
    </row>
    <row r="22" spans="1:5">
      <c r="A22" s="1">
        <f t="shared" si="0"/>
        <v>16</v>
      </c>
      <c r="B22" s="2" t="s">
        <v>555</v>
      </c>
      <c r="C22" s="2" t="s">
        <v>556</v>
      </c>
      <c r="D22" s="2" t="s">
        <v>557</v>
      </c>
      <c r="E22" s="2" t="e">
        <f>VLOOKUP($D22,字段属性!$A$2:$B$798,2,FALSE)</f>
        <v>#N/A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>
    <tabColor rgb="FF002060"/>
  </sheetPr>
  <dimension ref="A1:L22"/>
  <sheetViews>
    <sheetView view="pageBreakPreview" zoomScaleNormal="100" zoomScaleSheetLayoutView="100" workbookViewId="0">
      <pane ySplit="6" topLeftCell="A7" activePane="bottomLeft" state="frozen"/>
      <selection/>
      <selection pane="bottomLeft" activeCell="K18" sqref="K18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471</v>
      </c>
      <c r="D1" s="5"/>
      <c r="E1" s="5"/>
      <c r="F1" s="5"/>
      <c r="G1" s="5"/>
      <c r="H1" s="5"/>
      <c r="I1" s="5"/>
      <c r="J1" s="5"/>
      <c r="K1" s="5"/>
      <c r="L1" s="18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558</v>
      </c>
      <c r="D3" s="8" t="s">
        <v>474</v>
      </c>
      <c r="E3" s="10" t="s">
        <v>61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 t="s">
        <v>559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v>1</v>
      </c>
      <c r="B7" s="2" t="s">
        <v>487</v>
      </c>
      <c r="C7" s="2" t="s">
        <v>487</v>
      </c>
      <c r="D7" s="2" t="s">
        <v>487</v>
      </c>
      <c r="E7" s="2" t="s">
        <v>516</v>
      </c>
      <c r="F7" s="1" t="s">
        <v>488</v>
      </c>
      <c r="I7" s="1" t="s">
        <v>489</v>
      </c>
      <c r="K7" s="3" t="s">
        <v>490</v>
      </c>
    </row>
    <row r="8" spans="1:11">
      <c r="A8" s="1">
        <v>2</v>
      </c>
      <c r="B8" s="2" t="s">
        <v>491</v>
      </c>
      <c r="C8" s="2" t="s">
        <v>491</v>
      </c>
      <c r="D8" s="2" t="s">
        <v>492</v>
      </c>
      <c r="E8" s="2" t="s">
        <v>516</v>
      </c>
      <c r="K8" s="3" t="s">
        <v>493</v>
      </c>
    </row>
    <row r="9" s="2" customFormat="1" spans="1:12">
      <c r="A9" s="1">
        <v>3</v>
      </c>
      <c r="B9" s="2" t="s">
        <v>494</v>
      </c>
      <c r="C9" s="2" t="s">
        <v>494</v>
      </c>
      <c r="D9" s="2" t="s">
        <v>495</v>
      </c>
      <c r="E9" s="2" t="s">
        <v>516</v>
      </c>
      <c r="F9" s="1" t="s">
        <v>488</v>
      </c>
      <c r="G9" s="1"/>
      <c r="H9" s="1"/>
      <c r="I9" s="1"/>
      <c r="K9" s="3" t="s">
        <v>496</v>
      </c>
      <c r="L9" s="1"/>
    </row>
    <row r="10" s="2" customFormat="1" spans="1:12">
      <c r="A10" s="1">
        <v>4</v>
      </c>
      <c r="B10" s="2" t="s">
        <v>497</v>
      </c>
      <c r="C10" s="2" t="s">
        <v>497</v>
      </c>
      <c r="D10" s="2" t="s">
        <v>498</v>
      </c>
      <c r="E10" s="2" t="s">
        <v>516</v>
      </c>
      <c r="F10" s="1" t="s">
        <v>488</v>
      </c>
      <c r="G10" s="1"/>
      <c r="H10" s="1"/>
      <c r="I10" s="1"/>
      <c r="K10" s="3" t="s">
        <v>499</v>
      </c>
      <c r="L10" s="1"/>
    </row>
    <row r="11" s="2" customFormat="1" spans="1:12">
      <c r="A11" s="1">
        <v>5</v>
      </c>
      <c r="B11" s="2" t="s">
        <v>500</v>
      </c>
      <c r="C11" s="2" t="s">
        <v>500</v>
      </c>
      <c r="D11" s="2" t="s">
        <v>501</v>
      </c>
      <c r="E11" s="2" t="s">
        <v>517</v>
      </c>
      <c r="F11" s="1" t="s">
        <v>488</v>
      </c>
      <c r="G11" s="1"/>
      <c r="H11" s="1"/>
      <c r="I11" s="1"/>
      <c r="K11" s="3" t="s">
        <v>502</v>
      </c>
      <c r="L11" s="1"/>
    </row>
    <row r="12" spans="1:11">
      <c r="A12" s="1">
        <v>6</v>
      </c>
      <c r="B12" s="2" t="s">
        <v>503</v>
      </c>
      <c r="C12" s="2" t="s">
        <v>503</v>
      </c>
      <c r="D12" s="2" t="s">
        <v>504</v>
      </c>
      <c r="E12" s="2" t="s">
        <v>516</v>
      </c>
      <c r="I12" s="26"/>
      <c r="K12" s="3" t="s">
        <v>505</v>
      </c>
    </row>
    <row r="13" spans="1:11">
      <c r="A13" s="1">
        <v>7</v>
      </c>
      <c r="B13" s="2" t="s">
        <v>506</v>
      </c>
      <c r="C13" s="2" t="s">
        <v>506</v>
      </c>
      <c r="D13" s="2" t="s">
        <v>507</v>
      </c>
      <c r="E13" s="2" t="s">
        <v>516</v>
      </c>
      <c r="K13" s="3" t="s">
        <v>508</v>
      </c>
    </row>
    <row r="14" spans="1:11">
      <c r="A14" s="1">
        <v>8</v>
      </c>
      <c r="B14" s="2" t="s">
        <v>509</v>
      </c>
      <c r="C14" s="2" t="s">
        <v>509</v>
      </c>
      <c r="D14" s="2" t="s">
        <v>501</v>
      </c>
      <c r="E14" s="2" t="s">
        <v>517</v>
      </c>
      <c r="K14" s="3" t="s">
        <v>510</v>
      </c>
    </row>
    <row r="15" spans="1:11">
      <c r="A15" s="1">
        <v>9</v>
      </c>
      <c r="B15" s="2" t="s">
        <v>51</v>
      </c>
      <c r="C15" s="2" t="s">
        <v>511</v>
      </c>
      <c r="D15" s="37" t="s">
        <v>511</v>
      </c>
      <c r="E15" s="2" t="s">
        <v>518</v>
      </c>
      <c r="F15" s="1" t="s">
        <v>488</v>
      </c>
      <c r="G15" s="1">
        <v>1</v>
      </c>
      <c r="K15" s="3" t="s">
        <v>512</v>
      </c>
    </row>
    <row r="16" spans="1:8">
      <c r="A16" s="1">
        <f>ROW()-6</f>
        <v>10</v>
      </c>
      <c r="B16" s="2" t="s">
        <v>560</v>
      </c>
      <c r="C16" s="37" t="s">
        <v>561</v>
      </c>
      <c r="D16" s="37" t="s">
        <v>561</v>
      </c>
      <c r="E16" s="2" t="e">
        <f>VLOOKUP($D16,字段属性!$A$2:$B$798,2,FALSE)</f>
        <v>#N/A</v>
      </c>
      <c r="F16" s="1" t="s">
        <v>488</v>
      </c>
      <c r="H16" s="1">
        <v>1</v>
      </c>
    </row>
    <row r="17" spans="1:11">
      <c r="A17" s="1">
        <f>ROW()-6</f>
        <v>11</v>
      </c>
      <c r="B17" s="2" t="s">
        <v>562</v>
      </c>
      <c r="C17" s="37" t="s">
        <v>563</v>
      </c>
      <c r="D17" s="37" t="s">
        <v>36</v>
      </c>
      <c r="E17" s="2" t="str">
        <f>VLOOKUP($D17,字段属性!$A$2:$B$798,2,FALSE)</f>
        <v>char(1)</v>
      </c>
      <c r="F17" s="1" t="s">
        <v>488</v>
      </c>
      <c r="H17" s="26"/>
      <c r="K17" s="3" t="s">
        <v>564</v>
      </c>
    </row>
    <row r="18" spans="1:11">
      <c r="A18" s="1">
        <f t="shared" ref="A18:A22" si="0">ROW()-6</f>
        <v>12</v>
      </c>
      <c r="B18" s="2" t="s">
        <v>527</v>
      </c>
      <c r="C18" s="2" t="s">
        <v>526</v>
      </c>
      <c r="D18" s="2" t="s">
        <v>526</v>
      </c>
      <c r="E18" s="2" t="e">
        <f>VLOOKUP($D18,字段属性!$A$2:$B$798,2,FALSE)</f>
        <v>#N/A</v>
      </c>
      <c r="K18" s="3" t="s">
        <v>565</v>
      </c>
    </row>
    <row r="19" spans="1:11">
      <c r="A19" s="1">
        <f t="shared" si="0"/>
        <v>13</v>
      </c>
      <c r="B19" s="2" t="s">
        <v>566</v>
      </c>
      <c r="C19" s="2" t="s">
        <v>567</v>
      </c>
      <c r="D19" s="2" t="s">
        <v>567</v>
      </c>
      <c r="E19" s="2" t="e">
        <f>VLOOKUP($D19,字段属性!$A$2:$B$798,2,FALSE)</f>
        <v>#N/A</v>
      </c>
      <c r="I19" s="26"/>
      <c r="K19" s="3" t="s">
        <v>568</v>
      </c>
    </row>
    <row r="20" spans="1:11">
      <c r="A20" s="1">
        <f t="shared" si="0"/>
        <v>14</v>
      </c>
      <c r="B20" s="2" t="s">
        <v>63</v>
      </c>
      <c r="C20" s="2" t="s">
        <v>569</v>
      </c>
      <c r="D20" s="2" t="s">
        <v>569</v>
      </c>
      <c r="E20" s="2" t="str">
        <f>VLOOKUP($D20,字段属性!$A$2:$B$798,2,FALSE)</f>
        <v>varchar(32)</v>
      </c>
      <c r="F20" s="1" t="s">
        <v>488</v>
      </c>
      <c r="I20" s="26"/>
      <c r="K20" s="3" t="s">
        <v>570</v>
      </c>
    </row>
    <row r="21" spans="1:11">
      <c r="A21" s="1">
        <f t="shared" si="0"/>
        <v>15</v>
      </c>
      <c r="B21" s="2" t="s">
        <v>571</v>
      </c>
      <c r="C21" s="2" t="s">
        <v>572</v>
      </c>
      <c r="D21" s="37" t="s">
        <v>573</v>
      </c>
      <c r="E21" s="2" t="e">
        <f>VLOOKUP($D21,字段属性!$A$2:$B$798,2,FALSE)</f>
        <v>#N/A</v>
      </c>
      <c r="F21" s="1" t="s">
        <v>488</v>
      </c>
      <c r="I21" s="26"/>
      <c r="K21" s="3" t="s">
        <v>574</v>
      </c>
    </row>
    <row r="22" ht="45" spans="1:11">
      <c r="A22" s="1">
        <f t="shared" si="0"/>
        <v>16</v>
      </c>
      <c r="B22" s="2" t="s">
        <v>38</v>
      </c>
      <c r="C22" s="2" t="s">
        <v>528</v>
      </c>
      <c r="D22" s="37" t="s">
        <v>36</v>
      </c>
      <c r="E22" s="2" t="str">
        <f>VLOOKUP($D22,字段属性!$A$2:$B$798,2,FALSE)</f>
        <v>char(1)</v>
      </c>
      <c r="F22" s="1" t="s">
        <v>488</v>
      </c>
      <c r="K22" s="3" t="s">
        <v>529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3">
    <tabColor rgb="FF002060"/>
  </sheetPr>
  <dimension ref="A1:L18"/>
  <sheetViews>
    <sheetView view="pageBreakPreview" zoomScaleNormal="100" zoomScaleSheetLayoutView="100" workbookViewId="0">
      <pane ySplit="6" topLeftCell="A7" activePane="bottomLeft" state="frozen"/>
      <selection/>
      <selection pane="bottomLeft" activeCell="A7" sqref="A7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471</v>
      </c>
      <c r="D1" s="5"/>
      <c r="E1" s="5"/>
      <c r="F1" s="5"/>
      <c r="G1" s="5"/>
      <c r="H1" s="5"/>
      <c r="I1" s="5"/>
      <c r="J1" s="5"/>
      <c r="K1" s="5"/>
      <c r="L1" s="18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575</v>
      </c>
      <c r="D3" s="8" t="s">
        <v>474</v>
      </c>
      <c r="E3" s="10" t="s">
        <v>576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 t="s">
        <v>577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v>1</v>
      </c>
      <c r="B7" s="2" t="s">
        <v>487</v>
      </c>
      <c r="C7" s="2" t="s">
        <v>487</v>
      </c>
      <c r="D7" s="2" t="s">
        <v>487</v>
      </c>
      <c r="E7" s="2" t="s">
        <v>516</v>
      </c>
      <c r="F7" s="1" t="s">
        <v>488</v>
      </c>
      <c r="I7" s="1" t="s">
        <v>489</v>
      </c>
      <c r="K7" s="3" t="s">
        <v>490</v>
      </c>
    </row>
    <row r="8" s="2" customFormat="1" spans="1:12">
      <c r="A8" s="1">
        <v>2</v>
      </c>
      <c r="B8" s="2" t="s">
        <v>491</v>
      </c>
      <c r="C8" s="2" t="s">
        <v>491</v>
      </c>
      <c r="D8" s="2" t="s">
        <v>492</v>
      </c>
      <c r="E8" s="2" t="s">
        <v>516</v>
      </c>
      <c r="F8" s="1"/>
      <c r="G8" s="1"/>
      <c r="H8" s="1"/>
      <c r="I8" s="1"/>
      <c r="K8" s="3" t="s">
        <v>493</v>
      </c>
      <c r="L8" s="1"/>
    </row>
    <row r="9" s="2" customFormat="1" spans="1:12">
      <c r="A9" s="1">
        <v>3</v>
      </c>
      <c r="B9" s="2" t="s">
        <v>494</v>
      </c>
      <c r="C9" s="2" t="s">
        <v>494</v>
      </c>
      <c r="D9" s="2" t="s">
        <v>495</v>
      </c>
      <c r="E9" s="2" t="s">
        <v>516</v>
      </c>
      <c r="F9" s="1" t="s">
        <v>488</v>
      </c>
      <c r="G9" s="1"/>
      <c r="H9" s="1"/>
      <c r="I9" s="1"/>
      <c r="K9" s="3" t="s">
        <v>496</v>
      </c>
      <c r="L9" s="1"/>
    </row>
    <row r="10" s="2" customFormat="1" spans="1:12">
      <c r="A10" s="1">
        <v>4</v>
      </c>
      <c r="B10" s="2" t="s">
        <v>497</v>
      </c>
      <c r="C10" s="2" t="s">
        <v>497</v>
      </c>
      <c r="D10" s="2" t="s">
        <v>498</v>
      </c>
      <c r="E10" s="2" t="s">
        <v>516</v>
      </c>
      <c r="F10" s="1" t="s">
        <v>488</v>
      </c>
      <c r="G10" s="1"/>
      <c r="H10" s="1"/>
      <c r="I10" s="1"/>
      <c r="K10" s="3" t="s">
        <v>499</v>
      </c>
      <c r="L10" s="1"/>
    </row>
    <row r="11" spans="1:11">
      <c r="A11" s="1">
        <v>5</v>
      </c>
      <c r="B11" s="2" t="s">
        <v>500</v>
      </c>
      <c r="C11" s="2" t="s">
        <v>500</v>
      </c>
      <c r="D11" s="2" t="s">
        <v>501</v>
      </c>
      <c r="E11" s="2" t="s">
        <v>517</v>
      </c>
      <c r="F11" s="1" t="s">
        <v>488</v>
      </c>
      <c r="K11" s="3" t="s">
        <v>502</v>
      </c>
    </row>
    <row r="12" spans="1:11">
      <c r="A12" s="1">
        <v>6</v>
      </c>
      <c r="B12" s="2" t="s">
        <v>503</v>
      </c>
      <c r="C12" s="2" t="s">
        <v>503</v>
      </c>
      <c r="D12" s="2" t="s">
        <v>504</v>
      </c>
      <c r="E12" s="2" t="s">
        <v>516</v>
      </c>
      <c r="I12" s="26"/>
      <c r="K12" s="3" t="s">
        <v>505</v>
      </c>
    </row>
    <row r="13" spans="1:11">
      <c r="A13" s="1">
        <v>7</v>
      </c>
      <c r="B13" s="2" t="s">
        <v>506</v>
      </c>
      <c r="C13" s="2" t="s">
        <v>506</v>
      </c>
      <c r="D13" s="2" t="s">
        <v>507</v>
      </c>
      <c r="E13" s="2" t="s">
        <v>516</v>
      </c>
      <c r="K13" s="3" t="s">
        <v>508</v>
      </c>
    </row>
    <row r="14" spans="1:11">
      <c r="A14" s="1">
        <v>8</v>
      </c>
      <c r="B14" s="2" t="s">
        <v>509</v>
      </c>
      <c r="C14" s="2" t="s">
        <v>509</v>
      </c>
      <c r="D14" s="2" t="s">
        <v>501</v>
      </c>
      <c r="E14" s="2" t="s">
        <v>517</v>
      </c>
      <c r="K14" s="3" t="s">
        <v>510</v>
      </c>
    </row>
    <row r="15" spans="1:11">
      <c r="A15" s="1">
        <v>9</v>
      </c>
      <c r="B15" s="2" t="s">
        <v>51</v>
      </c>
      <c r="C15" s="2" t="s">
        <v>511</v>
      </c>
      <c r="D15" s="37" t="s">
        <v>511</v>
      </c>
      <c r="E15" s="2" t="s">
        <v>518</v>
      </c>
      <c r="F15" s="1" t="s">
        <v>488</v>
      </c>
      <c r="G15" s="1">
        <v>1</v>
      </c>
      <c r="K15" s="3" t="s">
        <v>512</v>
      </c>
    </row>
    <row r="16" spans="1:9">
      <c r="A16" s="1">
        <f t="shared" ref="A16:A18" si="0">ROW()-6</f>
        <v>10</v>
      </c>
      <c r="B16" s="2" t="s">
        <v>578</v>
      </c>
      <c r="C16" s="2" t="s">
        <v>579</v>
      </c>
      <c r="D16" s="2" t="s">
        <v>579</v>
      </c>
      <c r="E16" s="2" t="e">
        <f>VLOOKUP($D16,字段属性!$A$2:$B$798,2,FALSE)</f>
        <v>#N/A</v>
      </c>
      <c r="F16" s="1" t="s">
        <v>488</v>
      </c>
      <c r="H16" s="1">
        <v>1</v>
      </c>
      <c r="I16" s="1" t="s">
        <v>523</v>
      </c>
    </row>
    <row r="17" spans="1:8">
      <c r="A17" s="1">
        <f t="shared" si="0"/>
        <v>11</v>
      </c>
      <c r="B17" s="2" t="s">
        <v>576</v>
      </c>
      <c r="C17" s="2" t="s">
        <v>580</v>
      </c>
      <c r="D17" s="2" t="s">
        <v>580</v>
      </c>
      <c r="E17" s="2" t="e">
        <f>VLOOKUP($D17,字段属性!$A$2:$B$798,2,FALSE)</f>
        <v>#N/A</v>
      </c>
      <c r="F17" s="1" t="s">
        <v>488</v>
      </c>
      <c r="H17" s="1">
        <v>1</v>
      </c>
    </row>
    <row r="18" spans="1:9">
      <c r="A18" s="1">
        <f t="shared" si="0"/>
        <v>12</v>
      </c>
      <c r="B18" s="2" t="s">
        <v>581</v>
      </c>
      <c r="C18" s="2" t="s">
        <v>582</v>
      </c>
      <c r="D18" s="2" t="s">
        <v>582</v>
      </c>
      <c r="E18" s="2" t="e">
        <f>VLOOKUP($D18,字段属性!$A$2:$B$798,2,FALSE)</f>
        <v>#N/A</v>
      </c>
      <c r="I18" s="1" t="s">
        <v>537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4">
    <tabColor rgb="FF002060"/>
  </sheetPr>
  <dimension ref="A1:L17"/>
  <sheetViews>
    <sheetView view="pageBreakPreview" zoomScaleNormal="100" zoomScaleSheetLayoutView="100" workbookViewId="0">
      <pane ySplit="6" topLeftCell="A7" activePane="bottomLeft" state="frozen"/>
      <selection/>
      <selection pane="bottomLeft" activeCell="B16" sqref="B16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471</v>
      </c>
      <c r="D1" s="5"/>
      <c r="E1" s="5"/>
      <c r="F1" s="5"/>
      <c r="G1" s="5"/>
      <c r="H1" s="5"/>
      <c r="I1" s="5"/>
      <c r="J1" s="5"/>
      <c r="K1" s="5"/>
      <c r="L1" s="18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583</v>
      </c>
      <c r="D3" s="8" t="s">
        <v>474</v>
      </c>
      <c r="E3" s="10" t="s">
        <v>584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 t="s">
        <v>585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7" si="0">ROW()-6</f>
        <v>1</v>
      </c>
      <c r="B7" s="2" t="s">
        <v>487</v>
      </c>
      <c r="C7" s="2" t="s">
        <v>487</v>
      </c>
      <c r="D7" s="2" t="s">
        <v>487</v>
      </c>
      <c r="E7" s="2" t="str">
        <f>VLOOKUP($D7,字段属性!$A$2:$B$798,2,FALSE)</f>
        <v>int(11)</v>
      </c>
      <c r="F7" s="1" t="s">
        <v>488</v>
      </c>
      <c r="I7" s="1" t="s">
        <v>489</v>
      </c>
      <c r="K7" s="3" t="s">
        <v>490</v>
      </c>
    </row>
    <row r="8" spans="1:11">
      <c r="A8" s="1">
        <f t="shared" si="0"/>
        <v>2</v>
      </c>
      <c r="B8" s="2" t="s">
        <v>491</v>
      </c>
      <c r="C8" s="2" t="s">
        <v>491</v>
      </c>
      <c r="D8" s="2" t="s">
        <v>492</v>
      </c>
      <c r="E8" s="2" t="e">
        <f>VLOOKUP($D8,字段属性!$A$2:$B$798,2,FALSE)</f>
        <v>#N/A</v>
      </c>
      <c r="K8" s="3" t="s">
        <v>493</v>
      </c>
    </row>
    <row r="9" spans="1:11">
      <c r="A9" s="1">
        <f t="shared" si="0"/>
        <v>3</v>
      </c>
      <c r="B9" s="2" t="s">
        <v>494</v>
      </c>
      <c r="C9" s="2" t="s">
        <v>494</v>
      </c>
      <c r="D9" s="2" t="s">
        <v>495</v>
      </c>
      <c r="E9" s="2" t="e">
        <f>VLOOKUP($D9,字段属性!$A$2:$B$798,2,FALSE)</f>
        <v>#N/A</v>
      </c>
      <c r="F9" s="1" t="s">
        <v>488</v>
      </c>
      <c r="K9" s="3" t="s">
        <v>496</v>
      </c>
    </row>
    <row r="10" spans="1:11">
      <c r="A10" s="1">
        <f t="shared" si="0"/>
        <v>4</v>
      </c>
      <c r="B10" s="2" t="s">
        <v>497</v>
      </c>
      <c r="C10" s="2" t="s">
        <v>497</v>
      </c>
      <c r="D10" s="2" t="s">
        <v>498</v>
      </c>
      <c r="E10" s="2" t="e">
        <f>VLOOKUP($D10,字段属性!$A$2:$B$798,2,FALSE)</f>
        <v>#N/A</v>
      </c>
      <c r="F10" s="1" t="s">
        <v>488</v>
      </c>
      <c r="K10" s="3" t="s">
        <v>499</v>
      </c>
    </row>
    <row r="11" spans="1:11">
      <c r="A11" s="1">
        <f t="shared" si="0"/>
        <v>5</v>
      </c>
      <c r="B11" s="2" t="s">
        <v>500</v>
      </c>
      <c r="C11" s="2" t="s">
        <v>500</v>
      </c>
      <c r="D11" s="2" t="s">
        <v>501</v>
      </c>
      <c r="E11" s="2" t="e">
        <f>VLOOKUP($D11,字段属性!$A$2:$B$798,2,FALSE)</f>
        <v>#N/A</v>
      </c>
      <c r="F11" s="1" t="s">
        <v>488</v>
      </c>
      <c r="K11" s="3" t="s">
        <v>502</v>
      </c>
    </row>
    <row r="12" spans="1:11">
      <c r="A12" s="1">
        <f t="shared" si="0"/>
        <v>6</v>
      </c>
      <c r="B12" s="2" t="s">
        <v>503</v>
      </c>
      <c r="C12" s="2" t="s">
        <v>503</v>
      </c>
      <c r="D12" s="2" t="s">
        <v>504</v>
      </c>
      <c r="E12" s="2" t="e">
        <f>VLOOKUP($D12,字段属性!$A$2:$B$798,2,FALSE)</f>
        <v>#N/A</v>
      </c>
      <c r="K12" s="3" t="s">
        <v>505</v>
      </c>
    </row>
    <row r="13" spans="1:11">
      <c r="A13" s="1">
        <f t="shared" si="0"/>
        <v>7</v>
      </c>
      <c r="B13" s="2" t="s">
        <v>506</v>
      </c>
      <c r="C13" s="2" t="s">
        <v>506</v>
      </c>
      <c r="D13" s="2" t="s">
        <v>507</v>
      </c>
      <c r="E13" s="2" t="e">
        <f>VLOOKUP($D13,字段属性!$A$2:$B$798,2,FALSE)</f>
        <v>#N/A</v>
      </c>
      <c r="K13" s="3" t="s">
        <v>508</v>
      </c>
    </row>
    <row r="14" spans="1:11">
      <c r="A14" s="1">
        <f t="shared" si="0"/>
        <v>8</v>
      </c>
      <c r="B14" s="2" t="s">
        <v>509</v>
      </c>
      <c r="C14" s="2" t="s">
        <v>509</v>
      </c>
      <c r="D14" s="2" t="s">
        <v>501</v>
      </c>
      <c r="E14" s="2" t="e">
        <f>VLOOKUP($D14,字段属性!$A$2:$B$798,2,FALSE)</f>
        <v>#N/A</v>
      </c>
      <c r="K14" s="3" t="s">
        <v>510</v>
      </c>
    </row>
    <row r="15" spans="1:11">
      <c r="A15" s="1">
        <f t="shared" si="0"/>
        <v>9</v>
      </c>
      <c r="B15" s="2" t="s">
        <v>51</v>
      </c>
      <c r="C15" s="2" t="s">
        <v>511</v>
      </c>
      <c r="D15" s="2" t="s">
        <v>511</v>
      </c>
      <c r="E15" s="2" t="str">
        <f>VLOOKUP($D15,字段属性!$A$2:$B$798,2,FALSE)</f>
        <v>varchar(32)</v>
      </c>
      <c r="F15" s="1" t="s">
        <v>488</v>
      </c>
      <c r="G15" s="1">
        <v>1</v>
      </c>
      <c r="K15" s="3" t="s">
        <v>512</v>
      </c>
    </row>
    <row r="16" spans="1:8">
      <c r="A16" s="1">
        <f t="shared" si="0"/>
        <v>10</v>
      </c>
      <c r="B16" s="2" t="s">
        <v>578</v>
      </c>
      <c r="C16" s="2" t="s">
        <v>579</v>
      </c>
      <c r="D16" s="2" t="s">
        <v>579</v>
      </c>
      <c r="E16" s="2" t="e">
        <f>VLOOKUP($D16,字段属性!$A$2:$B$798,2,FALSE)</f>
        <v>#N/A</v>
      </c>
      <c r="F16" s="1" t="s">
        <v>488</v>
      </c>
      <c r="H16" s="1">
        <v>1</v>
      </c>
    </row>
    <row r="17" spans="1:8">
      <c r="A17" s="1">
        <f t="shared" si="0"/>
        <v>11</v>
      </c>
      <c r="B17" s="2" t="s">
        <v>586</v>
      </c>
      <c r="C17" s="2" t="s">
        <v>587</v>
      </c>
      <c r="D17" s="2" t="s">
        <v>587</v>
      </c>
      <c r="E17" s="2" t="e">
        <f>VLOOKUP($D17,字段属性!$A$2:$B$798,2,FALSE)</f>
        <v>#N/A</v>
      </c>
      <c r="F17" s="1" t="s">
        <v>488</v>
      </c>
      <c r="H17" s="1">
        <v>2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5">
    <tabColor rgb="FF002060"/>
  </sheetPr>
  <dimension ref="A1:L17"/>
  <sheetViews>
    <sheetView view="pageBreakPreview" zoomScaleNormal="100" zoomScaleSheetLayoutView="100" workbookViewId="0">
      <pane ySplit="6" topLeftCell="A7" activePane="bottomLeft" state="frozen"/>
      <selection/>
      <selection pane="bottomLeft" activeCell="B16" sqref="B16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471</v>
      </c>
      <c r="D1" s="5"/>
      <c r="E1" s="5"/>
      <c r="F1" s="5"/>
      <c r="G1" s="5"/>
      <c r="H1" s="5"/>
      <c r="I1" s="5"/>
      <c r="J1" s="5"/>
      <c r="K1" s="5"/>
      <c r="L1" s="18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588</v>
      </c>
      <c r="D3" s="8" t="s">
        <v>474</v>
      </c>
      <c r="E3" s="10" t="s">
        <v>589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 t="s">
        <v>590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7" si="0">ROW()-6</f>
        <v>1</v>
      </c>
      <c r="B7" s="2" t="s">
        <v>487</v>
      </c>
      <c r="C7" s="2" t="s">
        <v>487</v>
      </c>
      <c r="D7" s="2" t="s">
        <v>487</v>
      </c>
      <c r="E7" s="2" t="str">
        <f>VLOOKUP($D7,字段属性!$A$2:$B$798,2,FALSE)</f>
        <v>int(11)</v>
      </c>
      <c r="F7" s="1" t="s">
        <v>488</v>
      </c>
      <c r="I7" s="1" t="s">
        <v>489</v>
      </c>
      <c r="K7" s="3" t="s">
        <v>490</v>
      </c>
    </row>
    <row r="8" spans="1:11">
      <c r="A8" s="1">
        <f t="shared" si="0"/>
        <v>2</v>
      </c>
      <c r="B8" s="2" t="s">
        <v>491</v>
      </c>
      <c r="C8" s="2" t="s">
        <v>491</v>
      </c>
      <c r="D8" s="2" t="s">
        <v>492</v>
      </c>
      <c r="E8" s="2" t="e">
        <f>VLOOKUP($D8,字段属性!$A$2:$B$798,2,FALSE)</f>
        <v>#N/A</v>
      </c>
      <c r="K8" s="3" t="s">
        <v>493</v>
      </c>
    </row>
    <row r="9" spans="1:11">
      <c r="A9" s="1">
        <f t="shared" si="0"/>
        <v>3</v>
      </c>
      <c r="B9" s="2" t="s">
        <v>494</v>
      </c>
      <c r="C9" s="2" t="s">
        <v>494</v>
      </c>
      <c r="D9" s="2" t="s">
        <v>495</v>
      </c>
      <c r="E9" s="2" t="e">
        <f>VLOOKUP($D9,字段属性!$A$2:$B$798,2,FALSE)</f>
        <v>#N/A</v>
      </c>
      <c r="F9" s="1" t="s">
        <v>488</v>
      </c>
      <c r="K9" s="3" t="s">
        <v>496</v>
      </c>
    </row>
    <row r="10" spans="1:11">
      <c r="A10" s="1">
        <f t="shared" si="0"/>
        <v>4</v>
      </c>
      <c r="B10" s="2" t="s">
        <v>497</v>
      </c>
      <c r="C10" s="2" t="s">
        <v>497</v>
      </c>
      <c r="D10" s="2" t="s">
        <v>498</v>
      </c>
      <c r="E10" s="2" t="e">
        <f>VLOOKUP($D10,字段属性!$A$2:$B$798,2,FALSE)</f>
        <v>#N/A</v>
      </c>
      <c r="F10" s="1" t="s">
        <v>488</v>
      </c>
      <c r="K10" s="3" t="s">
        <v>499</v>
      </c>
    </row>
    <row r="11" spans="1:11">
      <c r="A11" s="1">
        <f t="shared" si="0"/>
        <v>5</v>
      </c>
      <c r="B11" s="2" t="s">
        <v>500</v>
      </c>
      <c r="C11" s="2" t="s">
        <v>500</v>
      </c>
      <c r="D11" s="2" t="s">
        <v>501</v>
      </c>
      <c r="E11" s="2" t="e">
        <f>VLOOKUP($D11,字段属性!$A$2:$B$798,2,FALSE)</f>
        <v>#N/A</v>
      </c>
      <c r="F11" s="1" t="s">
        <v>488</v>
      </c>
      <c r="K11" s="3" t="s">
        <v>502</v>
      </c>
    </row>
    <row r="12" spans="1:11">
      <c r="A12" s="1">
        <f t="shared" si="0"/>
        <v>6</v>
      </c>
      <c r="B12" s="2" t="s">
        <v>503</v>
      </c>
      <c r="C12" s="2" t="s">
        <v>503</v>
      </c>
      <c r="D12" s="2" t="s">
        <v>504</v>
      </c>
      <c r="E12" s="2" t="e">
        <f>VLOOKUP($D12,字段属性!$A$2:$B$798,2,FALSE)</f>
        <v>#N/A</v>
      </c>
      <c r="K12" s="3" t="s">
        <v>505</v>
      </c>
    </row>
    <row r="13" spans="1:11">
      <c r="A13" s="1">
        <f t="shared" si="0"/>
        <v>7</v>
      </c>
      <c r="B13" s="2" t="s">
        <v>506</v>
      </c>
      <c r="C13" s="2" t="s">
        <v>506</v>
      </c>
      <c r="D13" s="2" t="s">
        <v>507</v>
      </c>
      <c r="E13" s="2" t="e">
        <f>VLOOKUP($D13,字段属性!$A$2:$B$798,2,FALSE)</f>
        <v>#N/A</v>
      </c>
      <c r="K13" s="3" t="s">
        <v>508</v>
      </c>
    </row>
    <row r="14" spans="1:11">
      <c r="A14" s="1">
        <f t="shared" si="0"/>
        <v>8</v>
      </c>
      <c r="B14" s="2" t="s">
        <v>509</v>
      </c>
      <c r="C14" s="2" t="s">
        <v>509</v>
      </c>
      <c r="D14" s="2" t="s">
        <v>501</v>
      </c>
      <c r="E14" s="2" t="e">
        <f>VLOOKUP($D14,字段属性!$A$2:$B$798,2,FALSE)</f>
        <v>#N/A</v>
      </c>
      <c r="K14" s="3" t="s">
        <v>510</v>
      </c>
    </row>
    <row r="15" spans="1:11">
      <c r="A15" s="1">
        <f t="shared" si="0"/>
        <v>9</v>
      </c>
      <c r="B15" s="2" t="s">
        <v>51</v>
      </c>
      <c r="C15" s="2" t="s">
        <v>511</v>
      </c>
      <c r="D15" s="2" t="s">
        <v>511</v>
      </c>
      <c r="E15" s="2" t="str">
        <f>VLOOKUP($D15,字段属性!$A$2:$B$798,2,FALSE)</f>
        <v>varchar(32)</v>
      </c>
      <c r="F15" s="1" t="s">
        <v>488</v>
      </c>
      <c r="G15" s="1">
        <v>1</v>
      </c>
      <c r="K15" s="3" t="s">
        <v>512</v>
      </c>
    </row>
    <row r="16" spans="1:8">
      <c r="A16" s="1">
        <f t="shared" si="0"/>
        <v>10</v>
      </c>
      <c r="B16" s="2" t="s">
        <v>578</v>
      </c>
      <c r="C16" s="2" t="s">
        <v>579</v>
      </c>
      <c r="D16" s="2" t="s">
        <v>579</v>
      </c>
      <c r="E16" s="2" t="e">
        <f>VLOOKUP($D16,字段属性!$A$2:$B$798,2,FALSE)</f>
        <v>#N/A</v>
      </c>
      <c r="F16" s="1" t="s">
        <v>488</v>
      </c>
      <c r="H16" s="1">
        <v>1</v>
      </c>
    </row>
    <row r="17" spans="1:8">
      <c r="A17" s="1">
        <f t="shared" si="0"/>
        <v>11</v>
      </c>
      <c r="B17" s="2" t="s">
        <v>586</v>
      </c>
      <c r="C17" s="2" t="s">
        <v>587</v>
      </c>
      <c r="D17" s="2" t="s">
        <v>587</v>
      </c>
      <c r="E17" s="2" t="e">
        <f>VLOOKUP($D17,字段属性!$A$2:$B$798,2,FALSE)</f>
        <v>#N/A</v>
      </c>
      <c r="F17" s="1" t="s">
        <v>488</v>
      </c>
      <c r="H17" s="1">
        <v>2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8"/>
  <dimension ref="A1:L46"/>
  <sheetViews>
    <sheetView view="pageBreakPreview" zoomScaleNormal="100" zoomScaleSheetLayoutView="100" topLeftCell="A13" workbookViewId="0">
      <selection activeCell="L1" sqref="L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471</v>
      </c>
      <c r="D1" s="5"/>
      <c r="E1" s="5"/>
      <c r="F1" s="5"/>
      <c r="G1" s="5"/>
      <c r="H1" s="5"/>
      <c r="I1" s="5"/>
      <c r="J1" s="5"/>
      <c r="K1" s="5"/>
      <c r="L1" s="18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591</v>
      </c>
      <c r="D3" s="8" t="s">
        <v>474</v>
      </c>
      <c r="E3" s="10" t="s">
        <v>592</v>
      </c>
      <c r="F3" s="11"/>
      <c r="G3" s="11"/>
      <c r="H3" s="11"/>
      <c r="I3" s="11"/>
      <c r="J3" s="11"/>
      <c r="K3" s="16"/>
      <c r="L3" s="18" t="s">
        <v>475</v>
      </c>
    </row>
    <row r="4" ht="181.5" customHeight="1" spans="1:11">
      <c r="A4" s="8" t="s">
        <v>476</v>
      </c>
      <c r="B4" s="8"/>
      <c r="C4" s="13" t="s">
        <v>593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v>1</v>
      </c>
      <c r="B7" s="2" t="s">
        <v>487</v>
      </c>
      <c r="C7" s="2" t="s">
        <v>487</v>
      </c>
      <c r="D7" s="2" t="s">
        <v>487</v>
      </c>
      <c r="E7" s="2" t="s">
        <v>516</v>
      </c>
      <c r="F7" s="1" t="s">
        <v>488</v>
      </c>
      <c r="I7" s="1" t="s">
        <v>489</v>
      </c>
      <c r="K7" s="3" t="s">
        <v>490</v>
      </c>
    </row>
    <row r="8" spans="1:11">
      <c r="A8" s="1">
        <v>2</v>
      </c>
      <c r="B8" s="2" t="s">
        <v>491</v>
      </c>
      <c r="C8" s="2" t="s">
        <v>491</v>
      </c>
      <c r="D8" s="2" t="s">
        <v>492</v>
      </c>
      <c r="E8" s="2" t="s">
        <v>516</v>
      </c>
      <c r="K8" s="3" t="s">
        <v>493</v>
      </c>
    </row>
    <row r="9" spans="1:11">
      <c r="A9" s="1">
        <v>3</v>
      </c>
      <c r="B9" s="2" t="s">
        <v>494</v>
      </c>
      <c r="C9" s="2" t="s">
        <v>494</v>
      </c>
      <c r="D9" s="2" t="s">
        <v>495</v>
      </c>
      <c r="E9" s="2" t="s">
        <v>516</v>
      </c>
      <c r="F9" s="1" t="s">
        <v>488</v>
      </c>
      <c r="I9" s="26"/>
      <c r="K9" s="3" t="s">
        <v>496</v>
      </c>
    </row>
    <row r="10" spans="1:11">
      <c r="A10" s="1">
        <v>4</v>
      </c>
      <c r="B10" s="2" t="s">
        <v>497</v>
      </c>
      <c r="C10" s="2" t="s">
        <v>497</v>
      </c>
      <c r="D10" s="2" t="s">
        <v>498</v>
      </c>
      <c r="E10" s="2" t="s">
        <v>516</v>
      </c>
      <c r="F10" s="1" t="s">
        <v>488</v>
      </c>
      <c r="K10" s="3" t="s">
        <v>499</v>
      </c>
    </row>
    <row r="11" spans="1:11">
      <c r="A11" s="1">
        <v>5</v>
      </c>
      <c r="B11" s="2" t="s">
        <v>500</v>
      </c>
      <c r="C11" s="2" t="s">
        <v>500</v>
      </c>
      <c r="D11" s="2" t="s">
        <v>501</v>
      </c>
      <c r="E11" s="2" t="s">
        <v>517</v>
      </c>
      <c r="F11" s="1" t="s">
        <v>488</v>
      </c>
      <c r="K11" s="3" t="s">
        <v>502</v>
      </c>
    </row>
    <row r="12" spans="1:11">
      <c r="A12" s="1">
        <v>6</v>
      </c>
      <c r="B12" s="2" t="s">
        <v>503</v>
      </c>
      <c r="C12" s="2" t="s">
        <v>503</v>
      </c>
      <c r="D12" s="37" t="s">
        <v>504</v>
      </c>
      <c r="E12" s="2" t="s">
        <v>516</v>
      </c>
      <c r="K12" s="3" t="s">
        <v>505</v>
      </c>
    </row>
    <row r="13" s="2" customFormat="1" spans="1:12">
      <c r="A13" s="1">
        <v>7</v>
      </c>
      <c r="B13" s="2" t="s">
        <v>506</v>
      </c>
      <c r="C13" s="2" t="s">
        <v>506</v>
      </c>
      <c r="D13" s="37" t="s">
        <v>507</v>
      </c>
      <c r="E13" s="2" t="s">
        <v>516</v>
      </c>
      <c r="F13" s="1"/>
      <c r="G13" s="1"/>
      <c r="H13" s="1"/>
      <c r="I13" s="1"/>
      <c r="K13" s="3" t="s">
        <v>508</v>
      </c>
      <c r="L13" s="1"/>
    </row>
    <row r="14" s="2" customFormat="1" spans="1:12">
      <c r="A14" s="1">
        <v>8</v>
      </c>
      <c r="B14" s="2" t="s">
        <v>509</v>
      </c>
      <c r="C14" s="2" t="s">
        <v>509</v>
      </c>
      <c r="D14" s="37" t="s">
        <v>501</v>
      </c>
      <c r="E14" s="2" t="s">
        <v>517</v>
      </c>
      <c r="F14" s="1"/>
      <c r="G14" s="1"/>
      <c r="H14" s="1"/>
      <c r="I14" s="1"/>
      <c r="K14" s="3" t="s">
        <v>510</v>
      </c>
      <c r="L14" s="1"/>
    </row>
    <row r="15" s="2" customFormat="1" spans="1:12">
      <c r="A15" s="1">
        <v>9</v>
      </c>
      <c r="B15" s="2" t="s">
        <v>51</v>
      </c>
      <c r="C15" s="2" t="s">
        <v>511</v>
      </c>
      <c r="D15" s="37" t="s">
        <v>511</v>
      </c>
      <c r="E15" s="2" t="s">
        <v>518</v>
      </c>
      <c r="F15" s="1" t="s">
        <v>488</v>
      </c>
      <c r="G15" s="1">
        <v>1</v>
      </c>
      <c r="H15" s="1"/>
      <c r="I15" s="1"/>
      <c r="K15" s="3" t="s">
        <v>512</v>
      </c>
      <c r="L15" s="1"/>
    </row>
    <row r="16" spans="1:11">
      <c r="A16" s="1">
        <f t="shared" ref="A16:A46" si="0">ROW()-6</f>
        <v>10</v>
      </c>
      <c r="B16" s="2" t="s">
        <v>594</v>
      </c>
      <c r="C16" s="2" t="s">
        <v>595</v>
      </c>
      <c r="D16" s="2" t="s">
        <v>595</v>
      </c>
      <c r="E16" s="2" t="e">
        <f>VLOOKUP($D16,字段属性!$A$2:$B$798,2,FALSE)</f>
        <v>#N/A</v>
      </c>
      <c r="F16" s="1" t="s">
        <v>488</v>
      </c>
      <c r="H16" s="1">
        <v>1</v>
      </c>
      <c r="K16" s="3" t="s">
        <v>596</v>
      </c>
    </row>
    <row r="17" ht="22.5" spans="1:11">
      <c r="A17" s="1">
        <f t="shared" si="0"/>
        <v>11</v>
      </c>
      <c r="B17" s="2" t="s">
        <v>597</v>
      </c>
      <c r="C17" s="2" t="s">
        <v>598</v>
      </c>
      <c r="D17" s="2" t="s">
        <v>598</v>
      </c>
      <c r="E17" s="2" t="e">
        <f>VLOOKUP($D17,字段属性!$A$2:$B$798,2,FALSE)</f>
        <v>#N/A</v>
      </c>
      <c r="F17" s="1" t="s">
        <v>488</v>
      </c>
      <c r="H17" s="1">
        <v>2</v>
      </c>
      <c r="K17" s="3" t="s">
        <v>599</v>
      </c>
    </row>
    <row r="18" spans="1:6">
      <c r="A18" s="1">
        <f t="shared" si="0"/>
        <v>12</v>
      </c>
      <c r="B18" s="2" t="s">
        <v>600</v>
      </c>
      <c r="C18" s="2" t="s">
        <v>601</v>
      </c>
      <c r="D18" s="2" t="s">
        <v>601</v>
      </c>
      <c r="E18" s="2" t="e">
        <f>VLOOKUP($D18,字段属性!$A$2:$B$798,2,FALSE)</f>
        <v>#N/A</v>
      </c>
      <c r="F18" s="1" t="s">
        <v>488</v>
      </c>
    </row>
    <row r="19" spans="1:6">
      <c r="A19" s="1">
        <f t="shared" si="0"/>
        <v>13</v>
      </c>
      <c r="B19" s="2" t="s">
        <v>602</v>
      </c>
      <c r="C19" s="2" t="s">
        <v>603</v>
      </c>
      <c r="D19" s="2" t="s">
        <v>587</v>
      </c>
      <c r="E19" s="2" t="e">
        <f>VLOOKUP($D19,字段属性!$A$2:$B$798,2,FALSE)</f>
        <v>#N/A</v>
      </c>
      <c r="F19" s="1" t="s">
        <v>488</v>
      </c>
    </row>
    <row r="20" spans="1:11">
      <c r="A20" s="1">
        <f t="shared" si="0"/>
        <v>14</v>
      </c>
      <c r="B20" s="2" t="s">
        <v>604</v>
      </c>
      <c r="C20" s="2" t="s">
        <v>605</v>
      </c>
      <c r="D20" s="2" t="s">
        <v>36</v>
      </c>
      <c r="E20" s="2" t="str">
        <f>VLOOKUP($D20,字段属性!$A$2:$B$798,2,FALSE)</f>
        <v>char(1)</v>
      </c>
      <c r="F20" s="1" t="s">
        <v>488</v>
      </c>
      <c r="K20" s="3" t="s">
        <v>606</v>
      </c>
    </row>
    <row r="21" spans="1:11">
      <c r="A21" s="1">
        <f t="shared" si="0"/>
        <v>15</v>
      </c>
      <c r="B21" s="2" t="s">
        <v>607</v>
      </c>
      <c r="C21" s="2" t="s">
        <v>608</v>
      </c>
      <c r="D21" s="2" t="s">
        <v>36</v>
      </c>
      <c r="E21" s="2" t="str">
        <f>VLOOKUP($D21,字段属性!$A$2:$B$798,2,FALSE)</f>
        <v>char(1)</v>
      </c>
      <c r="F21" s="1" t="s">
        <v>488</v>
      </c>
      <c r="K21" s="3" t="s">
        <v>606</v>
      </c>
    </row>
    <row r="22" spans="1:11">
      <c r="A22" s="1">
        <f t="shared" si="0"/>
        <v>16</v>
      </c>
      <c r="B22" s="2" t="s">
        <v>609</v>
      </c>
      <c r="C22" s="2" t="s">
        <v>610</v>
      </c>
      <c r="D22" s="2" t="s">
        <v>611</v>
      </c>
      <c r="E22" s="2" t="str">
        <f>VLOOKUP($D22,字段属性!$A$2:$B$798,2,FALSE)</f>
        <v>varchar(255)</v>
      </c>
      <c r="K22" s="3" t="s">
        <v>612</v>
      </c>
    </row>
    <row r="23" spans="1:11">
      <c r="A23" s="1">
        <f t="shared" si="0"/>
        <v>17</v>
      </c>
      <c r="B23" s="2" t="s">
        <v>38</v>
      </c>
      <c r="C23" s="2" t="s">
        <v>528</v>
      </c>
      <c r="D23" s="2" t="s">
        <v>36</v>
      </c>
      <c r="E23" s="2" t="str">
        <f>VLOOKUP($D23,字段属性!$A$2:$B$798,2,FALSE)</f>
        <v>char(1)</v>
      </c>
      <c r="F23" s="1" t="s">
        <v>488</v>
      </c>
      <c r="K23" s="3" t="s">
        <v>613</v>
      </c>
    </row>
    <row r="24" spans="1:6">
      <c r="A24" s="1">
        <f t="shared" si="0"/>
        <v>18</v>
      </c>
      <c r="B24" s="2" t="s">
        <v>614</v>
      </c>
      <c r="C24" s="2" t="s">
        <v>615</v>
      </c>
      <c r="D24" s="2" t="s">
        <v>517</v>
      </c>
      <c r="E24" s="2" t="e">
        <f>VLOOKUP($D24,字段属性!$A$2:$B$798,2,FALSE)</f>
        <v>#N/A</v>
      </c>
      <c r="F24" s="1" t="s">
        <v>488</v>
      </c>
    </row>
    <row r="25" spans="1:6">
      <c r="A25" s="1">
        <f t="shared" si="0"/>
        <v>19</v>
      </c>
      <c r="B25" s="2" t="s">
        <v>616</v>
      </c>
      <c r="C25" s="2" t="s">
        <v>617</v>
      </c>
      <c r="D25" s="2" t="s">
        <v>618</v>
      </c>
      <c r="E25" s="2" t="e">
        <f>VLOOKUP($D25,字段属性!$A$2:$B$798,2,FALSE)</f>
        <v>#N/A</v>
      </c>
      <c r="F25" s="1" t="s">
        <v>488</v>
      </c>
    </row>
    <row r="26" spans="1:5">
      <c r="A26" s="1">
        <f t="shared" si="0"/>
        <v>20</v>
      </c>
      <c r="B26" s="2" t="s">
        <v>619</v>
      </c>
      <c r="C26" s="2" t="s">
        <v>620</v>
      </c>
      <c r="D26" s="2" t="s">
        <v>517</v>
      </c>
      <c r="E26" s="2" t="e">
        <f>VLOOKUP($D26,字段属性!$A$2:$B$798,2,FALSE)</f>
        <v>#N/A</v>
      </c>
    </row>
    <row r="27" spans="1:5">
      <c r="A27" s="1">
        <f t="shared" si="0"/>
        <v>21</v>
      </c>
      <c r="B27" s="2" t="s">
        <v>621</v>
      </c>
      <c r="C27" s="2" t="s">
        <v>622</v>
      </c>
      <c r="D27" s="2" t="s">
        <v>618</v>
      </c>
      <c r="E27" s="2" t="e">
        <f>VLOOKUP($D27,字段属性!$A$2:$B$798,2,FALSE)</f>
        <v>#N/A</v>
      </c>
    </row>
    <row r="28" spans="1:11">
      <c r="A28" s="1">
        <f t="shared" si="0"/>
        <v>22</v>
      </c>
      <c r="B28" s="2" t="s">
        <v>623</v>
      </c>
      <c r="C28" s="2" t="s">
        <v>624</v>
      </c>
      <c r="D28" s="2" t="s">
        <v>526</v>
      </c>
      <c r="E28" s="2" t="e">
        <f>VLOOKUP($D28,字段属性!$A$2:$B$798,2,FALSE)</f>
        <v>#N/A</v>
      </c>
      <c r="K28" s="3" t="s">
        <v>625</v>
      </c>
    </row>
    <row r="29" spans="1:5">
      <c r="A29" s="1">
        <f t="shared" si="0"/>
        <v>23</v>
      </c>
      <c r="B29" s="2" t="s">
        <v>626</v>
      </c>
      <c r="C29" s="2" t="s">
        <v>627</v>
      </c>
      <c r="D29" s="2" t="s">
        <v>517</v>
      </c>
      <c r="E29" s="2" t="e">
        <f>VLOOKUP($D29,字段属性!$A$2:$B$798,2,FALSE)</f>
        <v>#N/A</v>
      </c>
    </row>
    <row r="30" spans="1:5">
      <c r="A30" s="1">
        <f t="shared" si="0"/>
        <v>24</v>
      </c>
      <c r="B30" s="2" t="s">
        <v>628</v>
      </c>
      <c r="C30" s="2" t="s">
        <v>629</v>
      </c>
      <c r="D30" s="2" t="s">
        <v>618</v>
      </c>
      <c r="E30" s="2" t="e">
        <f>VLOOKUP($D30,字段属性!$A$2:$B$798,2,FALSE)</f>
        <v>#N/A</v>
      </c>
    </row>
    <row r="31" spans="1:11">
      <c r="A31" s="1">
        <f t="shared" si="0"/>
        <v>25</v>
      </c>
      <c r="B31" s="2" t="s">
        <v>630</v>
      </c>
      <c r="C31" s="2" t="s">
        <v>631</v>
      </c>
      <c r="D31" s="2" t="s">
        <v>526</v>
      </c>
      <c r="E31" s="2" t="e">
        <f>VLOOKUP($D31,字段属性!$A$2:$B$798,2,FALSE)</f>
        <v>#N/A</v>
      </c>
      <c r="K31" s="3" t="s">
        <v>625</v>
      </c>
    </row>
    <row r="32" spans="1:5">
      <c r="A32" s="1">
        <f t="shared" si="0"/>
        <v>26</v>
      </c>
      <c r="B32" s="2" t="s">
        <v>632</v>
      </c>
      <c r="C32" s="2" t="s">
        <v>633</v>
      </c>
      <c r="D32" s="2" t="s">
        <v>517</v>
      </c>
      <c r="E32" s="2" t="e">
        <f>VLOOKUP($D32,字段属性!$A$2:$B$798,2,FALSE)</f>
        <v>#N/A</v>
      </c>
    </row>
    <row r="33" spans="1:5">
      <c r="A33" s="1">
        <f t="shared" si="0"/>
        <v>27</v>
      </c>
      <c r="B33" s="2" t="s">
        <v>634</v>
      </c>
      <c r="C33" s="2" t="s">
        <v>635</v>
      </c>
      <c r="D33" s="2" t="s">
        <v>618</v>
      </c>
      <c r="E33" s="2" t="e">
        <f>VLOOKUP($D33,字段属性!$A$2:$B$798,2,FALSE)</f>
        <v>#N/A</v>
      </c>
    </row>
    <row r="34" spans="1:11">
      <c r="A34" s="1">
        <f t="shared" si="0"/>
        <v>28</v>
      </c>
      <c r="B34" s="2" t="s">
        <v>636</v>
      </c>
      <c r="C34" s="2" t="s">
        <v>637</v>
      </c>
      <c r="D34" s="2" t="s">
        <v>526</v>
      </c>
      <c r="E34" s="2" t="e">
        <f>VLOOKUP($D34,字段属性!$A$2:$B$798,2,FALSE)</f>
        <v>#N/A</v>
      </c>
      <c r="K34" s="3" t="s">
        <v>625</v>
      </c>
    </row>
    <row r="35" spans="1:5">
      <c r="A35" s="1">
        <f t="shared" si="0"/>
        <v>29</v>
      </c>
      <c r="B35" s="2" t="s">
        <v>638</v>
      </c>
      <c r="C35" s="2" t="s">
        <v>639</v>
      </c>
      <c r="D35" s="2" t="s">
        <v>517</v>
      </c>
      <c r="E35" s="2" t="e">
        <f>VLOOKUP($D35,字段属性!$A$2:$B$798,2,FALSE)</f>
        <v>#N/A</v>
      </c>
    </row>
    <row r="36" spans="1:5">
      <c r="A36" s="1">
        <f t="shared" si="0"/>
        <v>30</v>
      </c>
      <c r="B36" s="2" t="s">
        <v>640</v>
      </c>
      <c r="C36" s="2" t="s">
        <v>641</v>
      </c>
      <c r="D36" s="2" t="s">
        <v>618</v>
      </c>
      <c r="E36" s="2" t="e">
        <f>VLOOKUP($D36,字段属性!$A$2:$B$798,2,FALSE)</f>
        <v>#N/A</v>
      </c>
    </row>
    <row r="37" s="2" customFormat="1" spans="1:12">
      <c r="A37" s="1">
        <f t="shared" si="0"/>
        <v>31</v>
      </c>
      <c r="B37" s="2" t="s">
        <v>642</v>
      </c>
      <c r="C37" s="2" t="s">
        <v>643</v>
      </c>
      <c r="D37" s="2" t="s">
        <v>526</v>
      </c>
      <c r="E37" s="2" t="e">
        <f>VLOOKUP($D37,字段属性!$A$2:$B$798,2,FALSE)</f>
        <v>#N/A</v>
      </c>
      <c r="F37" s="1"/>
      <c r="G37" s="1"/>
      <c r="H37" s="1"/>
      <c r="I37" s="1"/>
      <c r="K37" s="3" t="s">
        <v>625</v>
      </c>
      <c r="L37" s="1"/>
    </row>
    <row r="38" s="2" customFormat="1" spans="1:12">
      <c r="A38" s="1">
        <f t="shared" si="0"/>
        <v>32</v>
      </c>
      <c r="B38" s="2" t="s">
        <v>644</v>
      </c>
      <c r="C38" s="2" t="s">
        <v>645</v>
      </c>
      <c r="D38" s="2" t="s">
        <v>517</v>
      </c>
      <c r="E38" s="2" t="e">
        <f>VLOOKUP($D38,字段属性!$A$2:$B$798,2,FALSE)</f>
        <v>#N/A</v>
      </c>
      <c r="F38" s="1"/>
      <c r="G38" s="1"/>
      <c r="H38" s="1"/>
      <c r="I38" s="1"/>
      <c r="K38" s="3"/>
      <c r="L38" s="1"/>
    </row>
    <row r="39" s="2" customFormat="1" spans="1:12">
      <c r="A39" s="1">
        <f t="shared" si="0"/>
        <v>33</v>
      </c>
      <c r="B39" s="2" t="s">
        <v>646</v>
      </c>
      <c r="C39" s="2" t="s">
        <v>647</v>
      </c>
      <c r="D39" s="2" t="s">
        <v>618</v>
      </c>
      <c r="E39" s="2" t="e">
        <f>VLOOKUP($D39,字段属性!$A$2:$B$798,2,FALSE)</f>
        <v>#N/A</v>
      </c>
      <c r="F39" s="1"/>
      <c r="G39" s="1"/>
      <c r="H39" s="1"/>
      <c r="I39" s="1"/>
      <c r="K39" s="3"/>
      <c r="L39" s="1"/>
    </row>
    <row r="40" spans="1:11">
      <c r="A40" s="1">
        <f t="shared" si="0"/>
        <v>34</v>
      </c>
      <c r="B40" s="2" t="s">
        <v>648</v>
      </c>
      <c r="C40" s="2" t="s">
        <v>649</v>
      </c>
      <c r="D40" s="2" t="s">
        <v>526</v>
      </c>
      <c r="E40" s="2" t="e">
        <f>VLOOKUP($D40,字段属性!$A$2:$B$798,2,FALSE)</f>
        <v>#N/A</v>
      </c>
      <c r="K40" s="3" t="s">
        <v>625</v>
      </c>
    </row>
    <row r="41" spans="1:5">
      <c r="A41" s="1">
        <f t="shared" si="0"/>
        <v>35</v>
      </c>
      <c r="B41" s="2" t="s">
        <v>650</v>
      </c>
      <c r="C41" s="2" t="s">
        <v>651</v>
      </c>
      <c r="D41" s="2" t="s">
        <v>517</v>
      </c>
      <c r="E41" s="2" t="e">
        <f>VLOOKUP($D41,字段属性!$A$2:$B$798,2,FALSE)</f>
        <v>#N/A</v>
      </c>
    </row>
    <row r="42" spans="1:5">
      <c r="A42" s="1">
        <f t="shared" si="0"/>
        <v>36</v>
      </c>
      <c r="B42" s="2" t="s">
        <v>652</v>
      </c>
      <c r="C42" s="2" t="s">
        <v>653</v>
      </c>
      <c r="D42" s="2" t="s">
        <v>618</v>
      </c>
      <c r="E42" s="2" t="e">
        <f>VLOOKUP($D42,字段属性!$A$2:$B$798,2,FALSE)</f>
        <v>#N/A</v>
      </c>
    </row>
    <row r="43" s="2" customFormat="1" spans="1:12">
      <c r="A43" s="1">
        <f t="shared" si="0"/>
        <v>37</v>
      </c>
      <c r="B43" s="2" t="s">
        <v>654</v>
      </c>
      <c r="C43" s="2" t="s">
        <v>655</v>
      </c>
      <c r="D43" s="2" t="s">
        <v>526</v>
      </c>
      <c r="E43" s="2" t="e">
        <f>VLOOKUP($D43,字段属性!$A$2:$B$798,2,FALSE)</f>
        <v>#N/A</v>
      </c>
      <c r="F43" s="1"/>
      <c r="G43" s="1"/>
      <c r="H43" s="1"/>
      <c r="I43" s="1"/>
      <c r="K43" s="3" t="s">
        <v>625</v>
      </c>
      <c r="L43" s="1"/>
    </row>
    <row r="44" s="2" customFormat="1" spans="1:12">
      <c r="A44" s="1">
        <f t="shared" si="0"/>
        <v>38</v>
      </c>
      <c r="B44" s="2" t="s">
        <v>656</v>
      </c>
      <c r="C44" s="2" t="s">
        <v>657</v>
      </c>
      <c r="D44" s="2" t="s">
        <v>517</v>
      </c>
      <c r="E44" s="2" t="e">
        <f>VLOOKUP($D44,字段属性!$A$2:$B$798,2,FALSE)</f>
        <v>#N/A</v>
      </c>
      <c r="F44" s="1"/>
      <c r="G44" s="1"/>
      <c r="H44" s="1"/>
      <c r="I44" s="1"/>
      <c r="K44" s="3"/>
      <c r="L44" s="1"/>
    </row>
    <row r="45" s="2" customFormat="1" spans="1:12">
      <c r="A45" s="1">
        <f t="shared" si="0"/>
        <v>39</v>
      </c>
      <c r="B45" s="2" t="s">
        <v>658</v>
      </c>
      <c r="C45" s="2" t="s">
        <v>659</v>
      </c>
      <c r="D45" s="2" t="s">
        <v>618</v>
      </c>
      <c r="E45" s="2" t="e">
        <f>VLOOKUP($D45,字段属性!$A$2:$B$798,2,FALSE)</f>
        <v>#N/A</v>
      </c>
      <c r="F45" s="1"/>
      <c r="G45" s="1"/>
      <c r="H45" s="1"/>
      <c r="I45" s="1"/>
      <c r="K45" s="3"/>
      <c r="L45" s="1"/>
    </row>
    <row r="46" spans="1:5">
      <c r="A46" s="1">
        <f t="shared" si="0"/>
        <v>40</v>
      </c>
      <c r="B46" s="2" t="s">
        <v>660</v>
      </c>
      <c r="C46" s="2" t="s">
        <v>661</v>
      </c>
      <c r="D46" s="2" t="s">
        <v>557</v>
      </c>
      <c r="E46" s="2" t="e">
        <f>VLOOKUP($D46,字段属性!$A$2:$B$798,2,FALSE)</f>
        <v>#N/A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9"/>
  <dimension ref="A1:L20"/>
  <sheetViews>
    <sheetView view="pageBreakPreview" zoomScaleNormal="100" zoomScaleSheetLayoutView="100" workbookViewId="0">
      <pane ySplit="6" topLeftCell="A7" activePane="bottomLeft" state="frozen"/>
      <selection/>
      <selection pane="bottomLeft" activeCell="L1" sqref="L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471</v>
      </c>
      <c r="D1" s="5"/>
      <c r="E1" s="5"/>
      <c r="F1" s="5"/>
      <c r="G1" s="5"/>
      <c r="H1" s="5"/>
      <c r="I1" s="5"/>
      <c r="J1" s="5"/>
      <c r="K1" s="5"/>
      <c r="L1" s="18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662</v>
      </c>
      <c r="D3" s="8" t="s">
        <v>474</v>
      </c>
      <c r="E3" s="10" t="s">
        <v>663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 t="s">
        <v>663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v>1</v>
      </c>
      <c r="B7" s="2" t="s">
        <v>487</v>
      </c>
      <c r="C7" s="2" t="s">
        <v>487</v>
      </c>
      <c r="D7" s="2" t="s">
        <v>487</v>
      </c>
      <c r="E7" s="2" t="s">
        <v>516</v>
      </c>
      <c r="F7" s="1" t="s">
        <v>488</v>
      </c>
      <c r="I7" s="1" t="s">
        <v>489</v>
      </c>
      <c r="K7" s="3" t="s">
        <v>490</v>
      </c>
    </row>
    <row r="8" spans="1:11">
      <c r="A8" s="1">
        <v>2</v>
      </c>
      <c r="B8" s="2" t="s">
        <v>491</v>
      </c>
      <c r="C8" s="2" t="s">
        <v>491</v>
      </c>
      <c r="D8" s="2" t="s">
        <v>492</v>
      </c>
      <c r="E8" s="2" t="s">
        <v>516</v>
      </c>
      <c r="K8" s="3" t="s">
        <v>493</v>
      </c>
    </row>
    <row r="9" spans="1:11">
      <c r="A9" s="1">
        <v>3</v>
      </c>
      <c r="B9" s="2" t="s">
        <v>494</v>
      </c>
      <c r="C9" s="2" t="s">
        <v>494</v>
      </c>
      <c r="D9" s="2" t="s">
        <v>495</v>
      </c>
      <c r="E9" s="2" t="s">
        <v>516</v>
      </c>
      <c r="F9" s="1" t="s">
        <v>488</v>
      </c>
      <c r="I9" s="26"/>
      <c r="K9" s="3" t="s">
        <v>496</v>
      </c>
    </row>
    <row r="10" spans="1:11">
      <c r="A10" s="1">
        <v>4</v>
      </c>
      <c r="B10" s="2" t="s">
        <v>497</v>
      </c>
      <c r="C10" s="2" t="s">
        <v>497</v>
      </c>
      <c r="D10" s="2" t="s">
        <v>498</v>
      </c>
      <c r="E10" s="2" t="s">
        <v>516</v>
      </c>
      <c r="F10" s="1" t="s">
        <v>488</v>
      </c>
      <c r="K10" s="3" t="s">
        <v>499</v>
      </c>
    </row>
    <row r="11" spans="1:11">
      <c r="A11" s="1">
        <v>5</v>
      </c>
      <c r="B11" s="2" t="s">
        <v>500</v>
      </c>
      <c r="C11" s="2" t="s">
        <v>500</v>
      </c>
      <c r="D11" s="2" t="s">
        <v>501</v>
      </c>
      <c r="E11" s="2" t="s">
        <v>517</v>
      </c>
      <c r="F11" s="1" t="s">
        <v>488</v>
      </c>
      <c r="K11" s="3" t="s">
        <v>502</v>
      </c>
    </row>
    <row r="12" spans="1:11">
      <c r="A12" s="1">
        <v>6</v>
      </c>
      <c r="B12" s="2" t="s">
        <v>503</v>
      </c>
      <c r="C12" s="2" t="s">
        <v>503</v>
      </c>
      <c r="D12" s="37" t="s">
        <v>504</v>
      </c>
      <c r="E12" s="2" t="s">
        <v>516</v>
      </c>
      <c r="K12" s="3" t="s">
        <v>505</v>
      </c>
    </row>
    <row r="13" s="2" customFormat="1" spans="1:12">
      <c r="A13" s="1">
        <v>7</v>
      </c>
      <c r="B13" s="2" t="s">
        <v>506</v>
      </c>
      <c r="C13" s="2" t="s">
        <v>506</v>
      </c>
      <c r="D13" s="37" t="s">
        <v>507</v>
      </c>
      <c r="E13" s="2" t="s">
        <v>516</v>
      </c>
      <c r="F13" s="1"/>
      <c r="G13" s="1"/>
      <c r="H13" s="1"/>
      <c r="I13" s="1"/>
      <c r="K13" s="3" t="s">
        <v>508</v>
      </c>
      <c r="L13" s="1"/>
    </row>
    <row r="14" s="2" customFormat="1" spans="1:12">
      <c r="A14" s="1">
        <v>8</v>
      </c>
      <c r="B14" s="2" t="s">
        <v>509</v>
      </c>
      <c r="C14" s="2" t="s">
        <v>509</v>
      </c>
      <c r="D14" s="37" t="s">
        <v>501</v>
      </c>
      <c r="E14" s="2" t="s">
        <v>517</v>
      </c>
      <c r="F14" s="1"/>
      <c r="G14" s="1"/>
      <c r="H14" s="1"/>
      <c r="I14" s="1"/>
      <c r="K14" s="3" t="s">
        <v>510</v>
      </c>
      <c r="L14" s="1"/>
    </row>
    <row r="15" s="2" customFormat="1" spans="1:12">
      <c r="A15" s="1">
        <v>9</v>
      </c>
      <c r="B15" s="2" t="s">
        <v>51</v>
      </c>
      <c r="C15" s="2" t="s">
        <v>511</v>
      </c>
      <c r="D15" s="37" t="s">
        <v>511</v>
      </c>
      <c r="E15" s="2" t="s">
        <v>518</v>
      </c>
      <c r="F15" s="1" t="s">
        <v>488</v>
      </c>
      <c r="G15" s="1">
        <v>1</v>
      </c>
      <c r="H15" s="1"/>
      <c r="I15" s="1"/>
      <c r="K15" s="3" t="s">
        <v>512</v>
      </c>
      <c r="L15" s="1"/>
    </row>
    <row r="16" spans="1:9">
      <c r="A16" s="1">
        <f t="shared" ref="A16:A20" si="0">ROW()-6</f>
        <v>10</v>
      </c>
      <c r="B16" s="2" t="s">
        <v>594</v>
      </c>
      <c r="C16" s="2" t="s">
        <v>595</v>
      </c>
      <c r="D16" s="2" t="s">
        <v>595</v>
      </c>
      <c r="E16" s="2" t="e">
        <f>VLOOKUP($D16,字段属性!$A$2:$B$798,2,FALSE)</f>
        <v>#N/A</v>
      </c>
      <c r="F16" s="1" t="s">
        <v>488</v>
      </c>
      <c r="I16" s="1" t="s">
        <v>664</v>
      </c>
    </row>
    <row r="17" spans="1:6">
      <c r="A17" s="1">
        <f t="shared" si="0"/>
        <v>11</v>
      </c>
      <c r="B17" s="2" t="s">
        <v>665</v>
      </c>
      <c r="C17" s="2" t="s">
        <v>666</v>
      </c>
      <c r="D17" s="2" t="s">
        <v>517</v>
      </c>
      <c r="E17" s="2" t="e">
        <f>VLOOKUP($D17,字段属性!$A$2:$B$798,2,FALSE)</f>
        <v>#N/A</v>
      </c>
      <c r="F17" s="1" t="s">
        <v>488</v>
      </c>
    </row>
    <row r="18" spans="1:6">
      <c r="A18" s="1">
        <f t="shared" si="0"/>
        <v>12</v>
      </c>
      <c r="B18" s="2" t="s">
        <v>667</v>
      </c>
      <c r="C18" s="2" t="s">
        <v>668</v>
      </c>
      <c r="D18" s="2" t="s">
        <v>618</v>
      </c>
      <c r="E18" s="2" t="e">
        <f>VLOOKUP($D18,字段属性!$A$2:$B$798,2,FALSE)</f>
        <v>#N/A</v>
      </c>
      <c r="F18" s="1" t="s">
        <v>488</v>
      </c>
    </row>
    <row r="19" spans="1:5">
      <c r="A19" s="1">
        <f t="shared" si="0"/>
        <v>13</v>
      </c>
      <c r="B19" s="2" t="s">
        <v>669</v>
      </c>
      <c r="C19" s="2" t="s">
        <v>670</v>
      </c>
      <c r="D19" s="2" t="s">
        <v>671</v>
      </c>
      <c r="E19" s="2" t="e">
        <f>VLOOKUP($D19,字段属性!$A$2:$B$798,2,FALSE)</f>
        <v>#N/A</v>
      </c>
    </row>
    <row r="20" spans="1:5">
      <c r="A20" s="1">
        <f t="shared" si="0"/>
        <v>14</v>
      </c>
      <c r="B20" s="2" t="s">
        <v>672</v>
      </c>
      <c r="C20" s="2" t="s">
        <v>673</v>
      </c>
      <c r="D20" s="2" t="s">
        <v>671</v>
      </c>
      <c r="E20" s="2" t="e">
        <f>VLOOKUP($D20,字段属性!$A$2:$B$798,2,FALSE)</f>
        <v>#N/A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2"/>
  <dimension ref="A1:L37"/>
  <sheetViews>
    <sheetView view="pageBreakPreview" zoomScaleNormal="100" zoomScaleSheetLayoutView="100" workbookViewId="0">
      <pane ySplit="6" topLeftCell="A7" activePane="bottomLeft" state="frozen"/>
      <selection/>
      <selection pane="bottomLeft" activeCell="M20" sqref="M20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471</v>
      </c>
      <c r="D1" s="5"/>
      <c r="E1" s="5"/>
      <c r="F1" s="5"/>
      <c r="G1" s="5"/>
      <c r="H1" s="5"/>
      <c r="I1" s="5"/>
      <c r="J1" s="5"/>
      <c r="K1" s="5"/>
      <c r="L1" s="18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674</v>
      </c>
      <c r="D3" s="8" t="s">
        <v>474</v>
      </c>
      <c r="E3" s="10" t="s">
        <v>675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 t="s">
        <v>676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v>1</v>
      </c>
      <c r="B7" s="2" t="s">
        <v>487</v>
      </c>
      <c r="C7" s="2" t="s">
        <v>487</v>
      </c>
      <c r="D7" s="2" t="s">
        <v>487</v>
      </c>
      <c r="E7" s="2" t="s">
        <v>516</v>
      </c>
      <c r="F7" s="1" t="s">
        <v>488</v>
      </c>
      <c r="I7" s="1" t="s">
        <v>489</v>
      </c>
      <c r="K7" s="3" t="s">
        <v>490</v>
      </c>
    </row>
    <row r="8" spans="1:11">
      <c r="A8" s="1">
        <v>2</v>
      </c>
      <c r="B8" s="2" t="s">
        <v>491</v>
      </c>
      <c r="C8" s="2" t="s">
        <v>491</v>
      </c>
      <c r="D8" s="2" t="s">
        <v>492</v>
      </c>
      <c r="E8" s="2" t="s">
        <v>516</v>
      </c>
      <c r="K8" s="3" t="s">
        <v>493</v>
      </c>
    </row>
    <row r="9" spans="1:11">
      <c r="A9" s="1">
        <v>3</v>
      </c>
      <c r="B9" s="2" t="s">
        <v>494</v>
      </c>
      <c r="C9" s="2" t="s">
        <v>494</v>
      </c>
      <c r="D9" s="2" t="s">
        <v>495</v>
      </c>
      <c r="E9" s="2" t="s">
        <v>516</v>
      </c>
      <c r="F9" s="1" t="s">
        <v>488</v>
      </c>
      <c r="I9" s="26"/>
      <c r="K9" s="3" t="s">
        <v>496</v>
      </c>
    </row>
    <row r="10" spans="1:11">
      <c r="A10" s="1">
        <v>4</v>
      </c>
      <c r="B10" s="2" t="s">
        <v>497</v>
      </c>
      <c r="C10" s="2" t="s">
        <v>497</v>
      </c>
      <c r="D10" s="2" t="s">
        <v>498</v>
      </c>
      <c r="E10" s="2" t="s">
        <v>516</v>
      </c>
      <c r="F10" s="1" t="s">
        <v>488</v>
      </c>
      <c r="K10" s="3" t="s">
        <v>499</v>
      </c>
    </row>
    <row r="11" spans="1:11">
      <c r="A11" s="1">
        <v>5</v>
      </c>
      <c r="B11" s="2" t="s">
        <v>500</v>
      </c>
      <c r="C11" s="2" t="s">
        <v>500</v>
      </c>
      <c r="D11" s="2" t="s">
        <v>501</v>
      </c>
      <c r="E11" s="2" t="s">
        <v>517</v>
      </c>
      <c r="F11" s="1" t="s">
        <v>488</v>
      </c>
      <c r="K11" s="3" t="s">
        <v>502</v>
      </c>
    </row>
    <row r="12" spans="1:11">
      <c r="A12" s="1">
        <v>6</v>
      </c>
      <c r="B12" s="2" t="s">
        <v>503</v>
      </c>
      <c r="C12" s="2" t="s">
        <v>503</v>
      </c>
      <c r="D12" s="37" t="s">
        <v>504</v>
      </c>
      <c r="E12" s="2" t="s">
        <v>516</v>
      </c>
      <c r="K12" s="3" t="s">
        <v>505</v>
      </c>
    </row>
    <row r="13" s="2" customFormat="1" spans="1:12">
      <c r="A13" s="1">
        <v>7</v>
      </c>
      <c r="B13" s="2" t="s">
        <v>506</v>
      </c>
      <c r="C13" s="2" t="s">
        <v>506</v>
      </c>
      <c r="D13" s="37" t="s">
        <v>507</v>
      </c>
      <c r="E13" s="2" t="s">
        <v>516</v>
      </c>
      <c r="F13" s="1"/>
      <c r="G13" s="1"/>
      <c r="H13" s="1"/>
      <c r="I13" s="1"/>
      <c r="K13" s="3" t="s">
        <v>508</v>
      </c>
      <c r="L13" s="1"/>
    </row>
    <row r="14" s="2" customFormat="1" spans="1:12">
      <c r="A14" s="1">
        <v>8</v>
      </c>
      <c r="B14" s="2" t="s">
        <v>509</v>
      </c>
      <c r="C14" s="2" t="s">
        <v>509</v>
      </c>
      <c r="D14" s="37" t="s">
        <v>501</v>
      </c>
      <c r="E14" s="2" t="s">
        <v>517</v>
      </c>
      <c r="F14" s="1"/>
      <c r="G14" s="1"/>
      <c r="H14" s="1"/>
      <c r="I14" s="1"/>
      <c r="K14" s="3" t="s">
        <v>510</v>
      </c>
      <c r="L14" s="1"/>
    </row>
    <row r="15" s="2" customFormat="1" spans="1:12">
      <c r="A15" s="1">
        <v>9</v>
      </c>
      <c r="B15" s="2" t="s">
        <v>51</v>
      </c>
      <c r="C15" s="2" t="s">
        <v>511</v>
      </c>
      <c r="D15" s="37" t="s">
        <v>511</v>
      </c>
      <c r="E15" s="2" t="s">
        <v>518</v>
      </c>
      <c r="F15" s="1" t="s">
        <v>488</v>
      </c>
      <c r="G15" s="1">
        <v>1</v>
      </c>
      <c r="H15" s="1"/>
      <c r="I15" s="1"/>
      <c r="K15" s="3" t="s">
        <v>512</v>
      </c>
      <c r="L15" s="1"/>
    </row>
    <row r="16" spans="1:8">
      <c r="A16" s="1">
        <f t="shared" ref="A16:A37" si="0">ROW()-6</f>
        <v>10</v>
      </c>
      <c r="B16" s="2" t="s">
        <v>600</v>
      </c>
      <c r="C16" s="2" t="s">
        <v>601</v>
      </c>
      <c r="D16" s="2" t="s">
        <v>601</v>
      </c>
      <c r="E16" s="2" t="e">
        <f>VLOOKUP($D16,字段属性!$A$2:$B$798,2,FALSE)</f>
        <v>#N/A</v>
      </c>
      <c r="F16" s="1" t="s">
        <v>488</v>
      </c>
      <c r="H16" s="1">
        <v>1</v>
      </c>
    </row>
    <row r="17" spans="1:6">
      <c r="A17" s="1">
        <f t="shared" si="0"/>
        <v>11</v>
      </c>
      <c r="B17" s="2" t="s">
        <v>677</v>
      </c>
      <c r="C17" s="2" t="s">
        <v>678</v>
      </c>
      <c r="D17" s="2" t="s">
        <v>522</v>
      </c>
      <c r="E17" s="2" t="e">
        <f>VLOOKUP($D17,字段属性!$A$2:$B$798,2,FALSE)</f>
        <v>#N/A</v>
      </c>
      <c r="F17" s="1" t="s">
        <v>488</v>
      </c>
    </row>
    <row r="18" spans="1:11">
      <c r="A18" s="1">
        <f t="shared" si="0"/>
        <v>12</v>
      </c>
      <c r="B18" s="2" t="s">
        <v>679</v>
      </c>
      <c r="C18" s="2" t="s">
        <v>680</v>
      </c>
      <c r="D18" s="2" t="s">
        <v>94</v>
      </c>
      <c r="E18" s="2" t="str">
        <f>VLOOKUP($D18,字段属性!$A$2:$B$798,2,FALSE)</f>
        <v>char(2)</v>
      </c>
      <c r="F18" s="1" t="s">
        <v>488</v>
      </c>
      <c r="K18" s="3" t="s">
        <v>681</v>
      </c>
    </row>
    <row r="19" s="2" customFormat="1" spans="1:12">
      <c r="A19" s="1">
        <f t="shared" si="0"/>
        <v>13</v>
      </c>
      <c r="B19" s="2" t="s">
        <v>682</v>
      </c>
      <c r="C19" s="2" t="s">
        <v>683</v>
      </c>
      <c r="D19" s="2" t="s">
        <v>683</v>
      </c>
      <c r="E19" s="2" t="e">
        <f>VLOOKUP($D19,字段属性!$A$2:$B$798,2,FALSE)</f>
        <v>#N/A</v>
      </c>
      <c r="F19" s="1"/>
      <c r="G19" s="1"/>
      <c r="H19" s="1"/>
      <c r="I19" s="1"/>
      <c r="K19" s="3"/>
      <c r="L19" s="1"/>
    </row>
    <row r="20" spans="1:5">
      <c r="A20" s="1">
        <f t="shared" si="0"/>
        <v>14</v>
      </c>
      <c r="B20" s="2" t="s">
        <v>684</v>
      </c>
      <c r="C20" s="2" t="s">
        <v>685</v>
      </c>
      <c r="D20" s="2" t="s">
        <v>517</v>
      </c>
      <c r="E20" s="2" t="e">
        <f>VLOOKUP($D20,字段属性!$A$2:$B$798,2,FALSE)</f>
        <v>#N/A</v>
      </c>
    </row>
    <row r="21" spans="1:11">
      <c r="A21" s="1">
        <f t="shared" si="0"/>
        <v>15</v>
      </c>
      <c r="B21" s="2" t="s">
        <v>686</v>
      </c>
      <c r="C21" s="2" t="s">
        <v>687</v>
      </c>
      <c r="D21" s="2" t="s">
        <v>36</v>
      </c>
      <c r="E21" s="2" t="str">
        <f>VLOOKUP($D21,字段属性!$A$2:$B$798,2,FALSE)</f>
        <v>char(1)</v>
      </c>
      <c r="F21" s="1" t="s">
        <v>488</v>
      </c>
      <c r="K21" s="3" t="s">
        <v>688</v>
      </c>
    </row>
    <row r="22" spans="1:5">
      <c r="A22" s="1">
        <f t="shared" si="0"/>
        <v>16</v>
      </c>
      <c r="B22" s="2" t="s">
        <v>689</v>
      </c>
      <c r="C22" s="2" t="s">
        <v>690</v>
      </c>
      <c r="D22" s="2" t="s">
        <v>690</v>
      </c>
      <c r="E22" s="2" t="e">
        <f>VLOOKUP($D22,字段属性!$A$2:$B$798,2,FALSE)</f>
        <v>#N/A</v>
      </c>
    </row>
    <row r="23" spans="1:6">
      <c r="A23" s="1">
        <f t="shared" si="0"/>
        <v>17</v>
      </c>
      <c r="B23" s="2" t="s">
        <v>691</v>
      </c>
      <c r="C23" s="2" t="s">
        <v>692</v>
      </c>
      <c r="D23" s="2" t="s">
        <v>554</v>
      </c>
      <c r="E23" s="2" t="e">
        <f>VLOOKUP($D23,字段属性!$A$2:$B$798,2,FALSE)</f>
        <v>#N/A</v>
      </c>
      <c r="F23" s="1" t="s">
        <v>488</v>
      </c>
    </row>
    <row r="24" spans="1:6">
      <c r="A24" s="1">
        <f t="shared" si="0"/>
        <v>18</v>
      </c>
      <c r="B24" s="2" t="s">
        <v>693</v>
      </c>
      <c r="C24" s="2" t="s">
        <v>694</v>
      </c>
      <c r="D24" s="2" t="s">
        <v>695</v>
      </c>
      <c r="E24" s="2" t="e">
        <f>VLOOKUP($D24,字段属性!$A$2:$B$798,2,FALSE)</f>
        <v>#N/A</v>
      </c>
      <c r="F24" s="1" t="s">
        <v>488</v>
      </c>
    </row>
    <row r="25" spans="1:5">
      <c r="A25" s="1">
        <f t="shared" si="0"/>
        <v>19</v>
      </c>
      <c r="B25" s="2" t="s">
        <v>696</v>
      </c>
      <c r="C25" s="2" t="s">
        <v>697</v>
      </c>
      <c r="D25" s="2" t="s">
        <v>695</v>
      </c>
      <c r="E25" s="2" t="e">
        <f>VLOOKUP($D25,字段属性!$A$2:$B$798,2,FALSE)</f>
        <v>#N/A</v>
      </c>
    </row>
    <row r="26" spans="1:6">
      <c r="A26" s="1">
        <f t="shared" si="0"/>
        <v>20</v>
      </c>
      <c r="B26" s="2" t="s">
        <v>698</v>
      </c>
      <c r="C26" s="2" t="s">
        <v>699</v>
      </c>
      <c r="D26" s="2" t="s">
        <v>700</v>
      </c>
      <c r="E26" s="2" t="e">
        <f>VLOOKUP($D26,字段属性!$A$2:$B$798,2,FALSE)</f>
        <v>#N/A</v>
      </c>
      <c r="F26" s="1" t="s">
        <v>488</v>
      </c>
    </row>
    <row r="27" spans="1:6">
      <c r="A27" s="1">
        <f t="shared" si="0"/>
        <v>21</v>
      </c>
      <c r="B27" s="2" t="s">
        <v>701</v>
      </c>
      <c r="C27" s="2" t="s">
        <v>702</v>
      </c>
      <c r="D27" s="2" t="s">
        <v>700</v>
      </c>
      <c r="E27" s="2" t="e">
        <f>VLOOKUP($D27,字段属性!$A$2:$B$798,2,FALSE)</f>
        <v>#N/A</v>
      </c>
      <c r="F27" s="1" t="s">
        <v>488</v>
      </c>
    </row>
    <row r="28" spans="1:6">
      <c r="A28" s="1">
        <f t="shared" si="0"/>
        <v>22</v>
      </c>
      <c r="B28" s="2" t="s">
        <v>703</v>
      </c>
      <c r="C28" s="2" t="s">
        <v>704</v>
      </c>
      <c r="D28" s="2" t="s">
        <v>700</v>
      </c>
      <c r="E28" s="2" t="e">
        <f>VLOOKUP($D28,字段属性!$A$2:$B$798,2,FALSE)</f>
        <v>#N/A</v>
      </c>
      <c r="F28" s="1" t="s">
        <v>488</v>
      </c>
    </row>
    <row r="29" spans="1:6">
      <c r="A29" s="1">
        <f t="shared" si="0"/>
        <v>23</v>
      </c>
      <c r="B29" s="2" t="s">
        <v>705</v>
      </c>
      <c r="C29" s="2" t="s">
        <v>706</v>
      </c>
      <c r="D29" s="2" t="s">
        <v>700</v>
      </c>
      <c r="E29" s="2" t="e">
        <f>VLOOKUP($D29,字段属性!$A$2:$B$798,2,FALSE)</f>
        <v>#N/A</v>
      </c>
      <c r="F29" s="1" t="s">
        <v>488</v>
      </c>
    </row>
    <row r="30" spans="1:6">
      <c r="A30" s="1">
        <f t="shared" si="0"/>
        <v>24</v>
      </c>
      <c r="B30" s="2" t="s">
        <v>707</v>
      </c>
      <c r="C30" s="2" t="s">
        <v>708</v>
      </c>
      <c r="D30" s="2" t="s">
        <v>700</v>
      </c>
      <c r="E30" s="2" t="e">
        <f>VLOOKUP($D30,字段属性!$A$2:$B$798,2,FALSE)</f>
        <v>#N/A</v>
      </c>
      <c r="F30" s="1" t="s">
        <v>488</v>
      </c>
    </row>
    <row r="31" spans="1:6">
      <c r="A31" s="1">
        <f t="shared" si="0"/>
        <v>25</v>
      </c>
      <c r="B31" s="2" t="s">
        <v>709</v>
      </c>
      <c r="C31" s="2" t="s">
        <v>710</v>
      </c>
      <c r="D31" s="2" t="s">
        <v>700</v>
      </c>
      <c r="E31" s="2" t="e">
        <f>VLOOKUP($D31,字段属性!$A$2:$B$798,2,FALSE)</f>
        <v>#N/A</v>
      </c>
      <c r="F31" s="1" t="s">
        <v>488</v>
      </c>
    </row>
    <row r="32" spans="1:6">
      <c r="A32" s="1">
        <f t="shared" si="0"/>
        <v>26</v>
      </c>
      <c r="B32" s="2" t="s">
        <v>711</v>
      </c>
      <c r="C32" s="2" t="s">
        <v>712</v>
      </c>
      <c r="D32" s="2" t="s">
        <v>700</v>
      </c>
      <c r="E32" s="2" t="e">
        <f>VLOOKUP($D32,字段属性!$A$2:$B$798,2,FALSE)</f>
        <v>#N/A</v>
      </c>
      <c r="F32" s="1" t="s">
        <v>488</v>
      </c>
    </row>
    <row r="33" spans="1:6">
      <c r="A33" s="1">
        <f t="shared" si="0"/>
        <v>27</v>
      </c>
      <c r="B33" s="2" t="s">
        <v>713</v>
      </c>
      <c r="C33" s="2" t="s">
        <v>714</v>
      </c>
      <c r="D33" s="2" t="s">
        <v>700</v>
      </c>
      <c r="E33" s="2" t="e">
        <f>VLOOKUP($D33,字段属性!$A$2:$B$798,2,FALSE)</f>
        <v>#N/A</v>
      </c>
      <c r="F33" s="1" t="s">
        <v>488</v>
      </c>
    </row>
    <row r="34" spans="1:6">
      <c r="A34" s="1">
        <f t="shared" si="0"/>
        <v>28</v>
      </c>
      <c r="B34" s="2" t="s">
        <v>715</v>
      </c>
      <c r="C34" s="2" t="s">
        <v>716</v>
      </c>
      <c r="D34" s="2" t="s">
        <v>700</v>
      </c>
      <c r="E34" s="2" t="e">
        <f>VLOOKUP($D34,字段属性!$A$2:$B$798,2,FALSE)</f>
        <v>#N/A</v>
      </c>
      <c r="F34" s="1" t="s">
        <v>488</v>
      </c>
    </row>
    <row r="35" spans="1:6">
      <c r="A35" s="1">
        <f t="shared" si="0"/>
        <v>29</v>
      </c>
      <c r="B35" s="2" t="s">
        <v>717</v>
      </c>
      <c r="C35" s="2" t="s">
        <v>718</v>
      </c>
      <c r="D35" s="2" t="s">
        <v>700</v>
      </c>
      <c r="E35" s="2" t="e">
        <f>VLOOKUP($D35,字段属性!$A$2:$B$798,2,FALSE)</f>
        <v>#N/A</v>
      </c>
      <c r="F35" s="1" t="s">
        <v>488</v>
      </c>
    </row>
    <row r="36" spans="1:6">
      <c r="A36" s="1">
        <f t="shared" si="0"/>
        <v>30</v>
      </c>
      <c r="B36" s="2" t="s">
        <v>719</v>
      </c>
      <c r="C36" s="2" t="s">
        <v>720</v>
      </c>
      <c r="D36" s="2" t="s">
        <v>700</v>
      </c>
      <c r="E36" s="2" t="e">
        <f>VLOOKUP($D36,字段属性!$A$2:$B$798,2,FALSE)</f>
        <v>#N/A</v>
      </c>
      <c r="F36" s="1" t="s">
        <v>488</v>
      </c>
    </row>
    <row r="37" spans="1:6">
      <c r="A37" s="1">
        <f t="shared" si="0"/>
        <v>31</v>
      </c>
      <c r="B37" s="2" t="s">
        <v>721</v>
      </c>
      <c r="C37" s="2" t="s">
        <v>722</v>
      </c>
      <c r="D37" s="2" t="s">
        <v>700</v>
      </c>
      <c r="E37" s="2" t="e">
        <f>VLOOKUP($D37,字段属性!$A$2:$B$798,2,FALSE)</f>
        <v>#N/A</v>
      </c>
      <c r="F37" s="1" t="s">
        <v>488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A1:D40"/>
  <sheetViews>
    <sheetView workbookViewId="0">
      <selection activeCell="B10" sqref="B10"/>
    </sheetView>
  </sheetViews>
  <sheetFormatPr defaultColWidth="9" defaultRowHeight="11.25" outlineLevelCol="3"/>
  <cols>
    <col min="1" max="1" width="5.125" style="2" customWidth="1"/>
    <col min="2" max="2" width="21.25" style="2" customWidth="1"/>
    <col min="3" max="3" width="22.625" style="2" customWidth="1"/>
    <col min="4" max="4" width="5.125" style="2" customWidth="1"/>
    <col min="5" max="16384" width="9" style="2"/>
  </cols>
  <sheetData>
    <row r="1" spans="1:4">
      <c r="A1" s="34" t="s">
        <v>723</v>
      </c>
      <c r="B1" s="34" t="s">
        <v>724</v>
      </c>
      <c r="C1" s="34" t="s">
        <v>725</v>
      </c>
      <c r="D1" s="34" t="s">
        <v>726</v>
      </c>
    </row>
    <row r="2" spans="1:4">
      <c r="A2" s="1">
        <v>1</v>
      </c>
      <c r="B2" s="2" t="s">
        <v>727</v>
      </c>
      <c r="C2" s="2" t="s">
        <v>728</v>
      </c>
      <c r="D2" s="18" t="s">
        <v>729</v>
      </c>
    </row>
    <row r="3" spans="1:4">
      <c r="A3" s="1">
        <v>2</v>
      </c>
      <c r="B3" s="2" t="s">
        <v>730</v>
      </c>
      <c r="C3" s="2" t="s">
        <v>731</v>
      </c>
      <c r="D3" s="18" t="s">
        <v>729</v>
      </c>
    </row>
    <row r="4" spans="1:4">
      <c r="A4" s="1">
        <v>3</v>
      </c>
      <c r="B4" s="2" t="s">
        <v>732</v>
      </c>
      <c r="C4" s="2" t="s">
        <v>733</v>
      </c>
      <c r="D4" s="18" t="s">
        <v>729</v>
      </c>
    </row>
    <row r="5" spans="1:4">
      <c r="A5" s="1">
        <v>4</v>
      </c>
      <c r="B5" s="2" t="s">
        <v>734</v>
      </c>
      <c r="C5" s="2" t="s">
        <v>735</v>
      </c>
      <c r="D5" s="18" t="s">
        <v>729</v>
      </c>
    </row>
    <row r="6" spans="1:4">
      <c r="A6" s="1">
        <v>5</v>
      </c>
      <c r="B6" s="2" t="s">
        <v>736</v>
      </c>
      <c r="C6" s="2" t="s">
        <v>737</v>
      </c>
      <c r="D6" s="18" t="s">
        <v>729</v>
      </c>
    </row>
    <row r="7" spans="1:4">
      <c r="A7" s="1">
        <v>6</v>
      </c>
      <c r="B7" s="2" t="s">
        <v>738</v>
      </c>
      <c r="C7" s="2" t="s">
        <v>739</v>
      </c>
      <c r="D7" s="18" t="s">
        <v>729</v>
      </c>
    </row>
    <row r="8" spans="1:4">
      <c r="A8" s="1">
        <v>7</v>
      </c>
      <c r="B8" s="2" t="s">
        <v>740</v>
      </c>
      <c r="C8" s="2" t="s">
        <v>741</v>
      </c>
      <c r="D8" s="18" t="s">
        <v>729</v>
      </c>
    </row>
    <row r="9" spans="1:4">
      <c r="A9" s="1">
        <v>8</v>
      </c>
      <c r="B9" s="2" t="s">
        <v>742</v>
      </c>
      <c r="C9" s="2" t="s">
        <v>743</v>
      </c>
      <c r="D9" s="18" t="s">
        <v>729</v>
      </c>
    </row>
    <row r="10" spans="1:4">
      <c r="A10" s="1">
        <v>9</v>
      </c>
      <c r="B10" s="2" t="s">
        <v>744</v>
      </c>
      <c r="C10" s="2" t="s">
        <v>745</v>
      </c>
      <c r="D10" s="18" t="s">
        <v>729</v>
      </c>
    </row>
    <row r="11" spans="1:4">
      <c r="A11" s="1">
        <v>10</v>
      </c>
      <c r="B11" s="2" t="s">
        <v>746</v>
      </c>
      <c r="C11" s="2" t="s">
        <v>747</v>
      </c>
      <c r="D11" s="18" t="s">
        <v>729</v>
      </c>
    </row>
    <row r="12" spans="1:4">
      <c r="A12" s="1">
        <v>11</v>
      </c>
      <c r="B12" s="2" t="s">
        <v>748</v>
      </c>
      <c r="C12" s="2" t="s">
        <v>749</v>
      </c>
      <c r="D12" s="18" t="s">
        <v>729</v>
      </c>
    </row>
    <row r="13" spans="1:4">
      <c r="A13" s="1">
        <v>12</v>
      </c>
      <c r="B13" s="2" t="s">
        <v>750</v>
      </c>
      <c r="C13" s="2" t="s">
        <v>751</v>
      </c>
      <c r="D13" s="18" t="s">
        <v>729</v>
      </c>
    </row>
    <row r="14" spans="1:4">
      <c r="A14" s="1">
        <v>13</v>
      </c>
      <c r="B14" s="2" t="s">
        <v>752</v>
      </c>
      <c r="C14" s="2" t="s">
        <v>753</v>
      </c>
      <c r="D14" s="18" t="s">
        <v>729</v>
      </c>
    </row>
    <row r="15" spans="1:4">
      <c r="A15" s="1">
        <v>14</v>
      </c>
      <c r="B15" s="2" t="s">
        <v>754</v>
      </c>
      <c r="C15" s="2" t="s">
        <v>755</v>
      </c>
      <c r="D15" s="18" t="s">
        <v>729</v>
      </c>
    </row>
    <row r="16" spans="1:4">
      <c r="A16" s="1">
        <v>15</v>
      </c>
      <c r="B16" s="2" t="s">
        <v>756</v>
      </c>
      <c r="C16" s="2" t="s">
        <v>757</v>
      </c>
      <c r="D16" s="18" t="s">
        <v>729</v>
      </c>
    </row>
    <row r="17" spans="1:4">
      <c r="A17" s="1">
        <v>16</v>
      </c>
      <c r="B17" s="2" t="s">
        <v>758</v>
      </c>
      <c r="C17" s="2" t="s">
        <v>759</v>
      </c>
      <c r="D17" s="18" t="s">
        <v>729</v>
      </c>
    </row>
    <row r="18" spans="1:4">
      <c r="A18" s="1">
        <v>17</v>
      </c>
      <c r="B18" s="2" t="s">
        <v>760</v>
      </c>
      <c r="C18" s="2" t="s">
        <v>761</v>
      </c>
      <c r="D18" s="18" t="s">
        <v>729</v>
      </c>
    </row>
    <row r="19" spans="1:4">
      <c r="A19" s="1">
        <v>18</v>
      </c>
      <c r="B19" s="2" t="s">
        <v>762</v>
      </c>
      <c r="C19" s="2" t="s">
        <v>763</v>
      </c>
      <c r="D19" s="18" t="s">
        <v>729</v>
      </c>
    </row>
    <row r="20" spans="1:4">
      <c r="A20" s="1">
        <v>19</v>
      </c>
      <c r="B20" s="2" t="s">
        <v>764</v>
      </c>
      <c r="C20" s="2" t="s">
        <v>765</v>
      </c>
      <c r="D20" s="18" t="s">
        <v>729</v>
      </c>
    </row>
    <row r="21" spans="1:4">
      <c r="A21" s="1">
        <v>20</v>
      </c>
      <c r="B21" s="2" t="s">
        <v>766</v>
      </c>
      <c r="C21" s="2" t="s">
        <v>767</v>
      </c>
      <c r="D21" s="18" t="s">
        <v>729</v>
      </c>
    </row>
    <row r="22" spans="1:4">
      <c r="A22" s="1">
        <v>21</v>
      </c>
      <c r="B22" s="2" t="s">
        <v>768</v>
      </c>
      <c r="C22" s="2" t="s">
        <v>769</v>
      </c>
      <c r="D22" s="18" t="s">
        <v>729</v>
      </c>
    </row>
    <row r="23" spans="1:4">
      <c r="A23" s="1">
        <v>22</v>
      </c>
      <c r="B23" s="2" t="s">
        <v>770</v>
      </c>
      <c r="C23" s="2" t="s">
        <v>771</v>
      </c>
      <c r="D23" s="18" t="s">
        <v>729</v>
      </c>
    </row>
    <row r="24" spans="1:4">
      <c r="A24" s="1">
        <v>23</v>
      </c>
      <c r="B24" s="2" t="s">
        <v>772</v>
      </c>
      <c r="C24" s="2" t="s">
        <v>773</v>
      </c>
      <c r="D24" s="18" t="s">
        <v>729</v>
      </c>
    </row>
    <row r="25" spans="1:4">
      <c r="A25" s="1">
        <v>24</v>
      </c>
      <c r="B25" s="2" t="s">
        <v>774</v>
      </c>
      <c r="C25" s="2" t="s">
        <v>775</v>
      </c>
      <c r="D25" s="18" t="s">
        <v>729</v>
      </c>
    </row>
    <row r="26" spans="1:4">
      <c r="A26" s="1">
        <v>25</v>
      </c>
      <c r="B26" s="2" t="s">
        <v>776</v>
      </c>
      <c r="C26" s="2" t="s">
        <v>777</v>
      </c>
      <c r="D26" s="18" t="s">
        <v>729</v>
      </c>
    </row>
    <row r="27" spans="1:4">
      <c r="A27" s="1">
        <v>26</v>
      </c>
      <c r="B27" s="2" t="s">
        <v>778</v>
      </c>
      <c r="C27" s="2" t="s">
        <v>779</v>
      </c>
      <c r="D27" s="18" t="s">
        <v>729</v>
      </c>
    </row>
    <row r="28" spans="1:4">
      <c r="A28" s="1">
        <v>27</v>
      </c>
      <c r="B28" s="2" t="s">
        <v>780</v>
      </c>
      <c r="C28" s="2" t="s">
        <v>781</v>
      </c>
      <c r="D28" s="18" t="s">
        <v>729</v>
      </c>
    </row>
    <row r="29" spans="1:4">
      <c r="A29" s="1">
        <v>28</v>
      </c>
      <c r="B29" s="2" t="s">
        <v>782</v>
      </c>
      <c r="C29" s="2" t="s">
        <v>783</v>
      </c>
      <c r="D29" s="18" t="s">
        <v>729</v>
      </c>
    </row>
    <row r="30" spans="1:4">
      <c r="A30" s="1">
        <v>29</v>
      </c>
      <c r="B30" s="2" t="s">
        <v>784</v>
      </c>
      <c r="C30" s="2" t="s">
        <v>785</v>
      </c>
      <c r="D30" s="18" t="s">
        <v>729</v>
      </c>
    </row>
    <row r="31" spans="1:4">
      <c r="A31" s="1">
        <v>30</v>
      </c>
      <c r="B31" s="2" t="s">
        <v>786</v>
      </c>
      <c r="C31" s="2" t="s">
        <v>787</v>
      </c>
      <c r="D31" s="18" t="s">
        <v>729</v>
      </c>
    </row>
    <row r="32" spans="1:4">
      <c r="A32" s="1">
        <v>31</v>
      </c>
      <c r="B32" s="2" t="s">
        <v>788</v>
      </c>
      <c r="C32" s="2" t="s">
        <v>789</v>
      </c>
      <c r="D32" s="18" t="s">
        <v>729</v>
      </c>
    </row>
    <row r="33" spans="1:4">
      <c r="A33" s="1">
        <v>32</v>
      </c>
      <c r="B33" s="2" t="s">
        <v>790</v>
      </c>
      <c r="C33" s="2" t="s">
        <v>791</v>
      </c>
      <c r="D33" s="18" t="s">
        <v>729</v>
      </c>
    </row>
    <row r="34" spans="1:4">
      <c r="A34" s="1">
        <v>33</v>
      </c>
      <c r="B34" s="2" t="s">
        <v>792</v>
      </c>
      <c r="C34" s="2" t="s">
        <v>793</v>
      </c>
      <c r="D34" s="18" t="s">
        <v>729</v>
      </c>
    </row>
    <row r="35" spans="1:4">
      <c r="A35" s="1">
        <v>34</v>
      </c>
      <c r="B35" s="2" t="s">
        <v>794</v>
      </c>
      <c r="C35" s="2" t="s">
        <v>795</v>
      </c>
      <c r="D35" s="18" t="s">
        <v>729</v>
      </c>
    </row>
    <row r="36" spans="1:4">
      <c r="A36" s="1">
        <v>35</v>
      </c>
      <c r="B36" s="2" t="s">
        <v>796</v>
      </c>
      <c r="C36" s="2" t="s">
        <v>797</v>
      </c>
      <c r="D36" s="18" t="s">
        <v>729</v>
      </c>
    </row>
    <row r="37" spans="1:4">
      <c r="A37" s="1">
        <v>36</v>
      </c>
      <c r="B37" s="2" t="s">
        <v>798</v>
      </c>
      <c r="C37" s="2" t="s">
        <v>799</v>
      </c>
      <c r="D37" s="18" t="s">
        <v>729</v>
      </c>
    </row>
    <row r="38" spans="1:4">
      <c r="A38" s="1">
        <v>37</v>
      </c>
      <c r="B38" s="2" t="s">
        <v>800</v>
      </c>
      <c r="C38" s="2" t="s">
        <v>801</v>
      </c>
      <c r="D38" s="18" t="s">
        <v>729</v>
      </c>
    </row>
    <row r="39" spans="1:4">
      <c r="A39" s="1">
        <v>38</v>
      </c>
      <c r="B39" s="2" t="s">
        <v>802</v>
      </c>
      <c r="C39" s="2" t="s">
        <v>803</v>
      </c>
      <c r="D39" s="18" t="s">
        <v>729</v>
      </c>
    </row>
    <row r="40" spans="1:4">
      <c r="A40" s="1">
        <v>39</v>
      </c>
      <c r="B40" s="2" t="s">
        <v>804</v>
      </c>
      <c r="C40" s="2" t="s">
        <v>805</v>
      </c>
      <c r="D40" s="18" t="s">
        <v>729</v>
      </c>
    </row>
  </sheetData>
  <hyperlinks>
    <hyperlink ref="D2" location="角色表!A1" display="查看"/>
    <hyperlink ref="D3" location="权限表!A1" display="查看"/>
    <hyperlink ref="D4" location="角色权限表!A1" display="查看"/>
    <hyperlink ref="D5" location="管理员角色表!A1" display="查看"/>
    <hyperlink ref="D6" location="管理员信息表!A1" display="查看"/>
    <hyperlink ref="D7" location="菜单表!A1" display="查看"/>
    <hyperlink ref="D8" location="车位锁信息表!A1" display="查看"/>
    <hyperlink ref="D9" location="地磁信息表!A1" display="查看"/>
    <hyperlink ref="D10" location="地磁数据上报日志表!A1" display="查看"/>
    <hyperlink ref="D11" location="网关信息表!A1" display="查看"/>
    <hyperlink ref="D12" location="停车场信息表!A1" display="查看"/>
    <hyperlink ref="D13" location="停车场区域表!A1" display="查看"/>
    <hyperlink ref="D14" location="停车场室内地图信息表!A1" display="查看"/>
    <hyperlink ref="D15" location="车位信息表!A1" display="查看"/>
    <hyperlink ref="D16" location="车位管理员关联表!A1" display="查看"/>
    <hyperlink ref="D17" location="车位锁日志记录表!A1" display="查看"/>
    <hyperlink ref="D18" location="固定车辆信息表!A1" display="查看"/>
    <hyperlink ref="D19" location="固定车辆缴费记录表!A1" display="查看"/>
    <hyperlink ref="D20" location="收费规则表!A1" display="查看"/>
    <hyperlink ref="D21" location="停车场收费规则表!A1" display="查看"/>
    <hyperlink ref="D22" location="包期规则表!A1" display="查看"/>
    <hyperlink ref="D23" location="充值活动信息表!A1" display="查看"/>
    <hyperlink ref="D24" location="充值记录表!A1" display="查看"/>
    <hyperlink ref="D25" location="发票记录表!A1" display="查看"/>
    <hyperlink ref="D26" location="开票规则表!A1" display="查看"/>
    <hyperlink ref="D27" location="布控车辆信息表!A1" display="查看"/>
    <hyperlink ref="D28" location="用户表!A1" display="查看"/>
    <hyperlink ref="D29" location="本地登录表!A1" display="查看"/>
    <hyperlink ref="D30" location="用户微信表!A1" display="查看"/>
    <hyperlink ref="D31" location="用户车辆列表!A1" display="查看"/>
    <hyperlink ref="D32" location="预约记录表!A1" display="查看"/>
    <hyperlink ref="D33" location="场内车辆记录表!A1" display="查看"/>
    <hyperlink ref="D34" location="过车记录表!A1" display="查看"/>
    <hyperlink ref="D35" location="订单信息表!A1" display="查看"/>
    <hyperlink ref="D36" location="用户消息记录表!A1" display="查看"/>
    <hyperlink ref="D37" location="推送消息记录表!A1" display="查看"/>
    <hyperlink ref="D38" location="警告消息记录表!A1" display="查看"/>
    <hyperlink ref="D39" location="反馈记录表!A1" display="查看"/>
    <hyperlink ref="D40" location="操作日志表!A1" display="查看"/>
  </hyperlinks>
  <pageMargins left="0.75" right="0.75" top="1" bottom="1" header="0.511805555555556" footer="0.511805555555556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1"/>
  <dimension ref="A1:L19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A1" sqref="A1:B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27" t="s">
        <v>806</v>
      </c>
      <c r="D1" s="27"/>
      <c r="E1" s="27"/>
      <c r="F1" s="27"/>
      <c r="G1" s="27"/>
      <c r="H1" s="27"/>
      <c r="I1" s="27"/>
      <c r="J1" s="27"/>
      <c r="K1" s="27"/>
      <c r="L1" s="14" t="s">
        <v>472</v>
      </c>
    </row>
    <row r="2" spans="1:11">
      <c r="A2" s="6"/>
      <c r="B2" s="28"/>
      <c r="C2" s="28"/>
      <c r="D2" s="28"/>
      <c r="E2" s="28"/>
      <c r="F2" s="6"/>
      <c r="G2" s="6"/>
      <c r="H2" s="6"/>
      <c r="I2" s="6"/>
      <c r="J2" s="28"/>
      <c r="K2" s="15"/>
    </row>
    <row r="3" spans="1:12">
      <c r="A3" s="8" t="s">
        <v>473</v>
      </c>
      <c r="B3" s="8"/>
      <c r="C3" s="29" t="s">
        <v>728</v>
      </c>
      <c r="D3" s="8" t="s">
        <v>474</v>
      </c>
      <c r="E3" s="10" t="s">
        <v>727</v>
      </c>
      <c r="F3" s="11"/>
      <c r="G3" s="11"/>
      <c r="H3" s="11"/>
      <c r="I3" s="11"/>
      <c r="J3" s="11"/>
      <c r="K3" s="16"/>
      <c r="L3" s="14" t="s">
        <v>475</v>
      </c>
    </row>
    <row r="4" spans="1:11">
      <c r="A4" s="8" t="s">
        <v>476</v>
      </c>
      <c r="B4" s="8"/>
      <c r="C4" s="29" t="s">
        <v>807</v>
      </c>
      <c r="D4" s="29"/>
      <c r="E4" s="29"/>
      <c r="F4" s="29"/>
      <c r="G4" s="29"/>
      <c r="H4" s="29"/>
      <c r="I4" s="29"/>
      <c r="J4" s="29"/>
      <c r="K4" s="29"/>
    </row>
    <row r="5" spans="1:12">
      <c r="A5" s="8" t="s">
        <v>477</v>
      </c>
      <c r="B5" s="8"/>
      <c r="C5" s="30"/>
      <c r="D5" s="29"/>
      <c r="E5" s="29"/>
      <c r="F5" s="29"/>
      <c r="G5" s="29"/>
      <c r="H5" s="29"/>
      <c r="I5" s="29"/>
      <c r="J5" s="29"/>
      <c r="K5" s="29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31">
        <f t="shared" ref="A7:A13" si="0">ROW()-6</f>
        <v>1</v>
      </c>
      <c r="B7" s="19" t="s">
        <v>808</v>
      </c>
      <c r="C7" s="19" t="s">
        <v>3</v>
      </c>
      <c r="D7" s="19" t="s">
        <v>3</v>
      </c>
      <c r="E7" s="19" t="s">
        <v>4</v>
      </c>
      <c r="F7" s="31" t="s">
        <v>488</v>
      </c>
      <c r="G7" s="31"/>
      <c r="H7" s="31">
        <v>1</v>
      </c>
      <c r="I7" s="31"/>
      <c r="J7" s="19"/>
      <c r="K7" s="32"/>
    </row>
    <row r="8" spans="1:11">
      <c r="A8" s="31">
        <f t="shared" si="0"/>
        <v>2</v>
      </c>
      <c r="B8" s="19" t="s">
        <v>13</v>
      </c>
      <c r="C8" s="19" t="s">
        <v>12</v>
      </c>
      <c r="D8" s="19" t="s">
        <v>12</v>
      </c>
      <c r="E8" s="19" t="s">
        <v>4</v>
      </c>
      <c r="F8" s="31"/>
      <c r="G8" s="31"/>
      <c r="H8" s="31"/>
      <c r="I8" s="31"/>
      <c r="J8" s="19"/>
      <c r="K8" s="32"/>
    </row>
    <row r="9" spans="1:5">
      <c r="A9" s="31">
        <f t="shared" si="0"/>
        <v>3</v>
      </c>
      <c r="B9" s="19" t="s">
        <v>809</v>
      </c>
      <c r="C9" s="19" t="s">
        <v>810</v>
      </c>
      <c r="D9" s="19" t="s">
        <v>14</v>
      </c>
      <c r="E9" s="19" t="s">
        <v>14</v>
      </c>
    </row>
    <row r="10" spans="1:5">
      <c r="A10" s="31">
        <f t="shared" si="0"/>
        <v>4</v>
      </c>
      <c r="B10" s="2" t="s">
        <v>67</v>
      </c>
      <c r="C10" s="2" t="s">
        <v>66</v>
      </c>
      <c r="D10" s="2" t="s">
        <v>14</v>
      </c>
      <c r="E10" s="2" t="s">
        <v>14</v>
      </c>
    </row>
    <row r="11" spans="1:5">
      <c r="A11" s="31">
        <f t="shared" si="0"/>
        <v>5</v>
      </c>
      <c r="B11" s="2" t="s">
        <v>811</v>
      </c>
      <c r="C11" s="2" t="s">
        <v>812</v>
      </c>
      <c r="D11" s="2" t="s">
        <v>14</v>
      </c>
      <c r="E11" s="2" t="s">
        <v>14</v>
      </c>
    </row>
    <row r="12" spans="1:6">
      <c r="A12" s="31">
        <f t="shared" si="0"/>
        <v>6</v>
      </c>
      <c r="B12" s="19" t="s">
        <v>8</v>
      </c>
      <c r="C12" s="19" t="s">
        <v>7</v>
      </c>
      <c r="D12" s="19" t="s">
        <v>7</v>
      </c>
      <c r="E12" s="19" t="s">
        <v>4</v>
      </c>
      <c r="F12" s="31"/>
    </row>
    <row r="13" spans="1:11">
      <c r="A13" s="31">
        <f t="shared" si="0"/>
        <v>7</v>
      </c>
      <c r="B13" s="19" t="s">
        <v>11</v>
      </c>
      <c r="C13" s="19" t="s">
        <v>9</v>
      </c>
      <c r="D13" s="19" t="s">
        <v>9</v>
      </c>
      <c r="E13" s="19" t="s">
        <v>57</v>
      </c>
      <c r="F13" s="31"/>
      <c r="G13" s="2"/>
      <c r="H13" s="2"/>
      <c r="I13" s="2"/>
      <c r="K13" s="2"/>
    </row>
    <row r="14" spans="7:9">
      <c r="G14" s="2"/>
      <c r="H14" s="2"/>
      <c r="I14" s="2"/>
    </row>
    <row r="15" spans="7:11">
      <c r="G15" s="2"/>
      <c r="H15" s="2"/>
      <c r="I15" s="2"/>
      <c r="K15" s="2"/>
    </row>
    <row r="16" spans="7:11">
      <c r="G16" s="2"/>
      <c r="H16" s="2"/>
      <c r="I16" s="2"/>
      <c r="K16" s="2"/>
    </row>
    <row r="17" spans="7:11">
      <c r="G17" s="2"/>
      <c r="H17" s="2"/>
      <c r="I17" s="2"/>
      <c r="K17" s="2"/>
    </row>
    <row r="18" spans="7:11">
      <c r="G18" s="2"/>
      <c r="H18" s="2"/>
      <c r="I18" s="2"/>
      <c r="K18" s="2"/>
    </row>
    <row r="19" spans="7:11">
      <c r="G19" s="2"/>
      <c r="H19" s="2"/>
      <c r="I19" s="2"/>
      <c r="K19" s="2"/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L15"/>
  <sheetViews>
    <sheetView view="pageBreakPreview" zoomScaleNormal="100" zoomScaleSheetLayoutView="100" workbookViewId="0">
      <pane ySplit="6" topLeftCell="A7" activePane="bottomLeft" state="frozen"/>
      <selection/>
      <selection pane="bottomLeft" activeCell="A1" sqref="A1:B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471</v>
      </c>
      <c r="D1" s="5"/>
      <c r="E1" s="5"/>
      <c r="F1" s="5"/>
      <c r="G1" s="5"/>
      <c r="H1" s="5"/>
      <c r="I1" s="5"/>
      <c r="J1" s="5"/>
      <c r="K1" s="5"/>
      <c r="L1" s="18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/>
      <c r="D3" s="8" t="s">
        <v>474</v>
      </c>
      <c r="E3" s="10"/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5" si="0">ROW()-6</f>
        <v>1</v>
      </c>
      <c r="B7" s="2" t="s">
        <v>487</v>
      </c>
      <c r="C7" s="2" t="s">
        <v>487</v>
      </c>
      <c r="D7" s="2" t="s">
        <v>487</v>
      </c>
      <c r="E7" s="2" t="str">
        <f>VLOOKUP($D7,字段属性!$A$2:$B$798,2,FALSE)</f>
        <v>int(11)</v>
      </c>
      <c r="F7" s="1" t="s">
        <v>488</v>
      </c>
      <c r="I7" s="1" t="s">
        <v>489</v>
      </c>
      <c r="K7" s="3" t="s">
        <v>490</v>
      </c>
    </row>
    <row r="8" spans="1:11">
      <c r="A8" s="1">
        <f t="shared" si="0"/>
        <v>2</v>
      </c>
      <c r="B8" s="2" t="s">
        <v>491</v>
      </c>
      <c r="C8" s="2" t="s">
        <v>491</v>
      </c>
      <c r="D8" s="2" t="s">
        <v>492</v>
      </c>
      <c r="E8" s="2" t="e">
        <f>VLOOKUP($D8,字段属性!$A$2:$B$798,2,FALSE)</f>
        <v>#N/A</v>
      </c>
      <c r="K8" s="3" t="s">
        <v>493</v>
      </c>
    </row>
    <row r="9" spans="1:11">
      <c r="A9" s="1">
        <f t="shared" si="0"/>
        <v>3</v>
      </c>
      <c r="B9" s="2" t="s">
        <v>494</v>
      </c>
      <c r="C9" s="2" t="s">
        <v>494</v>
      </c>
      <c r="D9" s="2" t="s">
        <v>495</v>
      </c>
      <c r="E9" s="2" t="e">
        <f>VLOOKUP($D9,字段属性!$A$2:$B$798,2,FALSE)</f>
        <v>#N/A</v>
      </c>
      <c r="F9" s="1" t="s">
        <v>488</v>
      </c>
      <c r="K9" s="3" t="s">
        <v>496</v>
      </c>
    </row>
    <row r="10" spans="1:11">
      <c r="A10" s="1">
        <f t="shared" si="0"/>
        <v>4</v>
      </c>
      <c r="B10" s="2" t="s">
        <v>497</v>
      </c>
      <c r="C10" s="2" t="s">
        <v>497</v>
      </c>
      <c r="D10" s="2" t="s">
        <v>498</v>
      </c>
      <c r="E10" s="2" t="e">
        <f>VLOOKUP($D10,字段属性!$A$2:$B$798,2,FALSE)</f>
        <v>#N/A</v>
      </c>
      <c r="F10" s="1" t="s">
        <v>488</v>
      </c>
      <c r="K10" s="3" t="s">
        <v>499</v>
      </c>
    </row>
    <row r="11" spans="1:11">
      <c r="A11" s="1">
        <f t="shared" si="0"/>
        <v>5</v>
      </c>
      <c r="B11" s="2" t="s">
        <v>500</v>
      </c>
      <c r="C11" s="2" t="s">
        <v>500</v>
      </c>
      <c r="D11" s="2" t="s">
        <v>501</v>
      </c>
      <c r="E11" s="2" t="e">
        <f>VLOOKUP($D11,字段属性!$A$2:$B$798,2,FALSE)</f>
        <v>#N/A</v>
      </c>
      <c r="F11" s="1" t="s">
        <v>488</v>
      </c>
      <c r="K11" s="3" t="s">
        <v>502</v>
      </c>
    </row>
    <row r="12" spans="1:11">
      <c r="A12" s="1">
        <f t="shared" si="0"/>
        <v>6</v>
      </c>
      <c r="B12" s="2" t="s">
        <v>503</v>
      </c>
      <c r="C12" s="2" t="s">
        <v>503</v>
      </c>
      <c r="D12" s="2" t="s">
        <v>504</v>
      </c>
      <c r="E12" s="2" t="e">
        <f>VLOOKUP($D12,字段属性!$A$2:$B$798,2,FALSE)</f>
        <v>#N/A</v>
      </c>
      <c r="K12" s="3" t="s">
        <v>505</v>
      </c>
    </row>
    <row r="13" spans="1:11">
      <c r="A13" s="1">
        <f t="shared" si="0"/>
        <v>7</v>
      </c>
      <c r="B13" s="2" t="s">
        <v>506</v>
      </c>
      <c r="C13" s="2" t="s">
        <v>506</v>
      </c>
      <c r="D13" s="2" t="s">
        <v>507</v>
      </c>
      <c r="E13" s="2" t="e">
        <f>VLOOKUP($D13,字段属性!$A$2:$B$798,2,FALSE)</f>
        <v>#N/A</v>
      </c>
      <c r="K13" s="3" t="s">
        <v>508</v>
      </c>
    </row>
    <row r="14" spans="1:11">
      <c r="A14" s="1">
        <f t="shared" si="0"/>
        <v>8</v>
      </c>
      <c r="B14" s="2" t="s">
        <v>509</v>
      </c>
      <c r="C14" s="2" t="s">
        <v>509</v>
      </c>
      <c r="D14" s="2" t="s">
        <v>501</v>
      </c>
      <c r="E14" s="2" t="e">
        <f>VLOOKUP($D14,字段属性!$A$2:$B$798,2,FALSE)</f>
        <v>#N/A</v>
      </c>
      <c r="K14" s="3" t="s">
        <v>510</v>
      </c>
    </row>
    <row r="15" spans="1:11">
      <c r="A15" s="1">
        <f t="shared" si="0"/>
        <v>9</v>
      </c>
      <c r="B15" s="2" t="s">
        <v>51</v>
      </c>
      <c r="C15" s="2" t="s">
        <v>511</v>
      </c>
      <c r="D15" s="2" t="s">
        <v>511</v>
      </c>
      <c r="E15" s="2" t="str">
        <f>VLOOKUP($D15,字段属性!$A$2:$B$798,2,FALSE)</f>
        <v>varchar(32)</v>
      </c>
      <c r="F15" s="1" t="s">
        <v>488</v>
      </c>
      <c r="G15" s="1">
        <v>1</v>
      </c>
      <c r="K15" s="3" t="s">
        <v>512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1:L10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L1" sqref="L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27" t="s">
        <v>806</v>
      </c>
      <c r="D1" s="27"/>
      <c r="E1" s="27"/>
      <c r="F1" s="27"/>
      <c r="G1" s="27"/>
      <c r="H1" s="27"/>
      <c r="I1" s="27"/>
      <c r="J1" s="27"/>
      <c r="K1" s="27"/>
      <c r="L1" s="14" t="s">
        <v>472</v>
      </c>
    </row>
    <row r="2" spans="1:11">
      <c r="A2" s="6"/>
      <c r="B2" s="28"/>
      <c r="C2" s="28"/>
      <c r="D2" s="28"/>
      <c r="E2" s="28"/>
      <c r="F2" s="6"/>
      <c r="G2" s="6"/>
      <c r="H2" s="6"/>
      <c r="I2" s="6"/>
      <c r="J2" s="28"/>
      <c r="K2" s="15"/>
    </row>
    <row r="3" spans="1:12">
      <c r="A3" s="8" t="s">
        <v>473</v>
      </c>
      <c r="B3" s="8"/>
      <c r="C3" s="29" t="s">
        <v>731</v>
      </c>
      <c r="D3" s="8" t="s">
        <v>474</v>
      </c>
      <c r="E3" s="10" t="s">
        <v>730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30"/>
      <c r="D4" s="29"/>
      <c r="E4" s="29"/>
      <c r="F4" s="29"/>
      <c r="G4" s="29"/>
      <c r="H4" s="29"/>
      <c r="I4" s="29"/>
      <c r="J4" s="29"/>
      <c r="K4" s="29"/>
    </row>
    <row r="5" spans="1:12">
      <c r="A5" s="8" t="s">
        <v>477</v>
      </c>
      <c r="B5" s="8"/>
      <c r="C5" s="30"/>
      <c r="D5" s="29"/>
      <c r="E5" s="29"/>
      <c r="F5" s="29"/>
      <c r="G5" s="29"/>
      <c r="H5" s="29"/>
      <c r="I5" s="29"/>
      <c r="J5" s="29"/>
      <c r="K5" s="29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31">
        <v>1</v>
      </c>
      <c r="B7" s="19" t="s">
        <v>808</v>
      </c>
      <c r="C7" s="19" t="s">
        <v>3</v>
      </c>
      <c r="D7" s="19" t="s">
        <v>3</v>
      </c>
      <c r="E7" s="19" t="s">
        <v>4</v>
      </c>
      <c r="F7" s="31" t="s">
        <v>488</v>
      </c>
      <c r="G7" s="31"/>
      <c r="H7" s="31">
        <v>1</v>
      </c>
      <c r="I7" s="31"/>
      <c r="J7" s="19"/>
      <c r="K7" s="32"/>
    </row>
    <row r="8" spans="1:11">
      <c r="A8" s="31">
        <v>2</v>
      </c>
      <c r="B8" s="19" t="s">
        <v>17</v>
      </c>
      <c r="C8" s="19" t="s">
        <v>16</v>
      </c>
      <c r="D8" s="19" t="s">
        <v>16</v>
      </c>
      <c r="E8" s="19" t="s">
        <v>4</v>
      </c>
      <c r="F8" s="31" t="s">
        <v>488</v>
      </c>
      <c r="G8" s="31"/>
      <c r="H8" s="31"/>
      <c r="I8" s="31"/>
      <c r="J8" s="19"/>
      <c r="K8" s="32"/>
    </row>
    <row r="9" spans="1:11">
      <c r="A9" s="31">
        <v>3</v>
      </c>
      <c r="B9" s="19" t="s">
        <v>813</v>
      </c>
      <c r="C9" s="19" t="s">
        <v>814</v>
      </c>
      <c r="D9" s="39" t="s">
        <v>36</v>
      </c>
      <c r="E9" s="2" t="s">
        <v>37</v>
      </c>
      <c r="F9" s="31"/>
      <c r="G9" s="31"/>
      <c r="H9" s="31"/>
      <c r="I9" s="31"/>
      <c r="J9" s="19"/>
      <c r="K9" s="32"/>
    </row>
    <row r="10" spans="1:11">
      <c r="A10" s="31">
        <v>4</v>
      </c>
      <c r="B10" s="19" t="s">
        <v>815</v>
      </c>
      <c r="C10" s="19" t="s">
        <v>25</v>
      </c>
      <c r="D10" s="19" t="s">
        <v>25</v>
      </c>
      <c r="E10" s="19" t="s">
        <v>10</v>
      </c>
      <c r="F10" s="31"/>
      <c r="G10" s="31"/>
      <c r="H10" s="31"/>
      <c r="I10" s="33"/>
      <c r="J10" s="19"/>
      <c r="K10" s="32"/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A1:L9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L1" sqref="L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733</v>
      </c>
      <c r="D3" s="8" t="s">
        <v>474</v>
      </c>
      <c r="E3" s="10" t="s">
        <v>732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 t="s">
        <v>816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8">
      <c r="A7" s="1">
        <f>ROW()-6</f>
        <v>1</v>
      </c>
      <c r="B7" s="2" t="s">
        <v>817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</row>
    <row r="8" spans="1:6">
      <c r="A8" s="1">
        <v>2</v>
      </c>
      <c r="B8" s="2" t="s">
        <v>8</v>
      </c>
      <c r="C8" s="2" t="s">
        <v>7</v>
      </c>
      <c r="D8" s="2" t="s">
        <v>7</v>
      </c>
      <c r="E8" s="2" t="s">
        <v>4</v>
      </c>
      <c r="F8" s="1" t="s">
        <v>488</v>
      </c>
    </row>
    <row r="9" spans="1:6">
      <c r="A9" s="1">
        <f>ROW()-6</f>
        <v>3</v>
      </c>
      <c r="B9" s="2" t="s">
        <v>30</v>
      </c>
      <c r="C9" s="2" t="s">
        <v>29</v>
      </c>
      <c r="D9" s="2" t="s">
        <v>29</v>
      </c>
      <c r="E9" s="2" t="s">
        <v>4</v>
      </c>
      <c r="F9" s="1" t="s">
        <v>488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9"/>
  <dimension ref="A1:L9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C9" sqref="C9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735</v>
      </c>
      <c r="D3" s="8" t="s">
        <v>474</v>
      </c>
      <c r="E3" s="10" t="s">
        <v>734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 t="s">
        <v>818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K7" s="3" t="s">
        <v>819</v>
      </c>
    </row>
    <row r="8" spans="1:6">
      <c r="A8" s="1">
        <v>2</v>
      </c>
      <c r="B8" s="2" t="s">
        <v>8</v>
      </c>
      <c r="C8" s="2" t="s">
        <v>820</v>
      </c>
      <c r="D8" s="2" t="s">
        <v>7</v>
      </c>
      <c r="E8" s="2" t="s">
        <v>4</v>
      </c>
      <c r="F8" s="1" t="s">
        <v>488</v>
      </c>
    </row>
    <row r="9" spans="1:6">
      <c r="A9" s="1">
        <v>3</v>
      </c>
      <c r="B9" s="2" t="s">
        <v>821</v>
      </c>
      <c r="C9" s="2" t="s">
        <v>54</v>
      </c>
      <c r="D9" s="2" t="s">
        <v>54</v>
      </c>
      <c r="E9" s="2" t="s">
        <v>4</v>
      </c>
      <c r="F9" s="1" t="s">
        <v>488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0"/>
  <dimension ref="A1:L19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C19" sqref="C19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737</v>
      </c>
      <c r="D3" s="8" t="s">
        <v>474</v>
      </c>
      <c r="E3" s="10" t="s">
        <v>736</v>
      </c>
      <c r="F3" s="11"/>
      <c r="G3" s="11"/>
      <c r="H3" s="11"/>
      <c r="I3" s="11"/>
      <c r="J3" s="11"/>
      <c r="K3" s="16"/>
      <c r="L3" s="14" t="s">
        <v>475</v>
      </c>
    </row>
    <row r="4" spans="1:11">
      <c r="A4" s="8" t="s">
        <v>476</v>
      </c>
      <c r="B4" s="8"/>
      <c r="C4" s="12" t="s">
        <v>822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I7" s="1" t="s">
        <v>489</v>
      </c>
      <c r="K7" s="3" t="s">
        <v>819</v>
      </c>
    </row>
    <row r="8" spans="1:5">
      <c r="A8" s="1">
        <f t="shared" ref="A8:A19" si="0">ROW()-6</f>
        <v>2</v>
      </c>
      <c r="B8" s="2" t="s">
        <v>13</v>
      </c>
      <c r="C8" s="2" t="s">
        <v>12</v>
      </c>
      <c r="D8" s="2" t="s">
        <v>12</v>
      </c>
      <c r="E8" s="2" t="s">
        <v>4</v>
      </c>
    </row>
    <row r="9" spans="1:5">
      <c r="A9" s="1">
        <f t="shared" si="0"/>
        <v>3</v>
      </c>
      <c r="B9" s="2" t="s">
        <v>809</v>
      </c>
      <c r="C9" s="2" t="s">
        <v>810</v>
      </c>
      <c r="D9" s="2" t="s">
        <v>14</v>
      </c>
      <c r="E9" s="2" t="s">
        <v>14</v>
      </c>
    </row>
    <row r="10" spans="1:5">
      <c r="A10" s="1">
        <f t="shared" si="0"/>
        <v>4</v>
      </c>
      <c r="B10" s="2" t="s">
        <v>67</v>
      </c>
      <c r="C10" s="2" t="s">
        <v>66</v>
      </c>
      <c r="D10" s="2" t="s">
        <v>66</v>
      </c>
      <c r="E10" s="2" t="s">
        <v>4</v>
      </c>
    </row>
    <row r="11" spans="1:5">
      <c r="A11" s="1">
        <f t="shared" si="0"/>
        <v>5</v>
      </c>
      <c r="B11" s="2" t="s">
        <v>811</v>
      </c>
      <c r="C11" s="2" t="s">
        <v>812</v>
      </c>
      <c r="D11" s="2" t="s">
        <v>14</v>
      </c>
      <c r="E11" s="2" t="s">
        <v>14</v>
      </c>
    </row>
    <row r="12" spans="1:5">
      <c r="A12" s="1">
        <f t="shared" si="0"/>
        <v>6</v>
      </c>
      <c r="B12" s="2" t="s">
        <v>823</v>
      </c>
      <c r="C12" s="2" t="s">
        <v>123</v>
      </c>
      <c r="D12" s="2" t="s">
        <v>59</v>
      </c>
      <c r="E12" s="2" t="s">
        <v>57</v>
      </c>
    </row>
    <row r="13" spans="1:5">
      <c r="A13" s="1">
        <f t="shared" si="0"/>
        <v>7</v>
      </c>
      <c r="B13" s="2" t="s">
        <v>58</v>
      </c>
      <c r="C13" s="2" t="s">
        <v>56</v>
      </c>
      <c r="D13" s="2" t="s">
        <v>56</v>
      </c>
      <c r="E13" s="2" t="s">
        <v>6</v>
      </c>
    </row>
    <row r="14" spans="1:5">
      <c r="A14" s="1">
        <f t="shared" si="0"/>
        <v>8</v>
      </c>
      <c r="B14" s="2" t="s">
        <v>175</v>
      </c>
      <c r="C14" s="2" t="s">
        <v>62</v>
      </c>
      <c r="D14" s="2" t="s">
        <v>62</v>
      </c>
      <c r="E14" s="2" t="s">
        <v>6</v>
      </c>
    </row>
    <row r="15" spans="1:5">
      <c r="A15" s="1">
        <f t="shared" si="0"/>
        <v>9</v>
      </c>
      <c r="B15" s="2" t="s">
        <v>65</v>
      </c>
      <c r="C15" s="2" t="s">
        <v>64</v>
      </c>
      <c r="D15" s="2" t="s">
        <v>64</v>
      </c>
      <c r="E15" s="2" t="s">
        <v>6</v>
      </c>
    </row>
    <row r="16" ht="33.75" spans="1:11">
      <c r="A16" s="1">
        <f t="shared" si="0"/>
        <v>10</v>
      </c>
      <c r="B16" s="2" t="s">
        <v>38</v>
      </c>
      <c r="C16" s="2" t="s">
        <v>824</v>
      </c>
      <c r="D16" s="39" t="s">
        <v>36</v>
      </c>
      <c r="E16" s="2" t="s">
        <v>37</v>
      </c>
      <c r="G16" s="1">
        <v>0</v>
      </c>
      <c r="K16" s="3" t="s">
        <v>825</v>
      </c>
    </row>
    <row r="17" spans="1:5">
      <c r="A17" s="1">
        <f t="shared" si="0"/>
        <v>11</v>
      </c>
      <c r="B17" s="2" t="s">
        <v>2</v>
      </c>
      <c r="C17" s="2" t="s">
        <v>68</v>
      </c>
      <c r="D17" s="2" t="s">
        <v>68</v>
      </c>
      <c r="E17" s="2" t="s">
        <v>69</v>
      </c>
    </row>
    <row r="18" spans="1:5">
      <c r="A18" s="1">
        <f t="shared" si="0"/>
        <v>12</v>
      </c>
      <c r="B18" s="2" t="s">
        <v>826</v>
      </c>
      <c r="C18" s="2" t="s">
        <v>827</v>
      </c>
      <c r="D18" s="2" t="s">
        <v>14</v>
      </c>
      <c r="E18" s="2" t="s">
        <v>14</v>
      </c>
    </row>
    <row r="19" spans="1:5">
      <c r="A19" s="1">
        <f t="shared" si="0"/>
        <v>13</v>
      </c>
      <c r="B19" s="2" t="s">
        <v>828</v>
      </c>
      <c r="C19" s="2" t="s">
        <v>171</v>
      </c>
      <c r="D19" s="2" t="s">
        <v>171</v>
      </c>
      <c r="E19" s="2" t="s">
        <v>10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4"/>
  <dimension ref="A1:L13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L5" sqref="L5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8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739</v>
      </c>
      <c r="D3" s="8" t="s">
        <v>474</v>
      </c>
      <c r="E3" s="10" t="s">
        <v>738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3" t="s">
        <v>829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8">
      <c r="A7" s="1">
        <v>1</v>
      </c>
      <c r="B7" s="2" t="s">
        <v>830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</row>
    <row r="8" spans="1:5">
      <c r="A8" s="1">
        <v>2</v>
      </c>
      <c r="B8" s="2" t="s">
        <v>17</v>
      </c>
      <c r="C8" s="2" t="s">
        <v>16</v>
      </c>
      <c r="D8" s="2" t="s">
        <v>16</v>
      </c>
      <c r="E8" s="2" t="s">
        <v>4</v>
      </c>
    </row>
    <row r="9" spans="1:5">
      <c r="A9" s="1">
        <v>3</v>
      </c>
      <c r="B9" s="2" t="s">
        <v>19</v>
      </c>
      <c r="C9" s="2" t="s">
        <v>18</v>
      </c>
      <c r="D9" s="2" t="s">
        <v>18</v>
      </c>
      <c r="E9" s="2" t="s">
        <v>57</v>
      </c>
    </row>
    <row r="10" spans="1:9">
      <c r="A10" s="1">
        <v>4</v>
      </c>
      <c r="B10" s="2" t="s">
        <v>22</v>
      </c>
      <c r="C10" s="2" t="s">
        <v>20</v>
      </c>
      <c r="D10" s="2" t="s">
        <v>20</v>
      </c>
      <c r="E10" s="2" t="s">
        <v>21</v>
      </c>
      <c r="I10" s="26"/>
    </row>
    <row r="11" spans="1:9">
      <c r="A11" s="1">
        <v>5</v>
      </c>
      <c r="B11" s="2" t="s">
        <v>831</v>
      </c>
      <c r="C11" s="2" t="s">
        <v>23</v>
      </c>
      <c r="D11" s="2" t="s">
        <v>23</v>
      </c>
      <c r="E11" s="2" t="s">
        <v>4</v>
      </c>
      <c r="I11" s="26"/>
    </row>
    <row r="12" spans="1:9">
      <c r="A12" s="1">
        <v>6</v>
      </c>
      <c r="B12" s="2" t="s">
        <v>815</v>
      </c>
      <c r="C12" s="2" t="s">
        <v>25</v>
      </c>
      <c r="D12" s="2" t="s">
        <v>25</v>
      </c>
      <c r="E12" s="2" t="s">
        <v>10</v>
      </c>
      <c r="I12" s="26"/>
    </row>
    <row r="13" spans="1:9">
      <c r="A13" s="1">
        <v>7</v>
      </c>
      <c r="B13" s="2" t="s">
        <v>832</v>
      </c>
      <c r="C13" s="2" t="s">
        <v>27</v>
      </c>
      <c r="D13" s="2" t="s">
        <v>27</v>
      </c>
      <c r="E13" s="2" t="s">
        <v>10</v>
      </c>
      <c r="I13" s="26"/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6"/>
  <dimension ref="A1:L15"/>
  <sheetViews>
    <sheetView view="pageBreakPreview" zoomScaleNormal="100" zoomScaleSheetLayoutView="100" workbookViewId="0">
      <pane ySplit="6" topLeftCell="A7" activePane="bottomLeft" state="frozen"/>
      <selection/>
      <selection pane="bottomLeft" activeCell="A1" sqref="A1:B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471</v>
      </c>
      <c r="D1" s="5"/>
      <c r="E1" s="5"/>
      <c r="F1" s="5"/>
      <c r="G1" s="5"/>
      <c r="H1" s="5"/>
      <c r="I1" s="5"/>
      <c r="J1" s="5"/>
      <c r="K1" s="5"/>
      <c r="L1" s="18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/>
      <c r="D3" s="8" t="s">
        <v>474</v>
      </c>
      <c r="E3" s="10"/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5" si="0">ROW()-6</f>
        <v>1</v>
      </c>
      <c r="B7" s="2" t="s">
        <v>487</v>
      </c>
      <c r="C7" s="2" t="s">
        <v>487</v>
      </c>
      <c r="D7" s="2" t="s">
        <v>487</v>
      </c>
      <c r="E7" s="2" t="str">
        <f>VLOOKUP($D7,字段属性!$A$2:$B$798,2,FALSE)</f>
        <v>int(11)</v>
      </c>
      <c r="F7" s="1" t="s">
        <v>488</v>
      </c>
      <c r="I7" s="1" t="s">
        <v>489</v>
      </c>
      <c r="K7" s="3" t="s">
        <v>490</v>
      </c>
    </row>
    <row r="8" spans="1:11">
      <c r="A8" s="1">
        <f t="shared" si="0"/>
        <v>2</v>
      </c>
      <c r="B8" s="2" t="s">
        <v>491</v>
      </c>
      <c r="C8" s="2" t="s">
        <v>491</v>
      </c>
      <c r="D8" s="2" t="s">
        <v>492</v>
      </c>
      <c r="E8" s="2" t="e">
        <f>VLOOKUP($D8,字段属性!$A$2:$B$798,2,FALSE)</f>
        <v>#N/A</v>
      </c>
      <c r="K8" s="3" t="s">
        <v>493</v>
      </c>
    </row>
    <row r="9" spans="1:11">
      <c r="A9" s="1">
        <f t="shared" si="0"/>
        <v>3</v>
      </c>
      <c r="B9" s="2" t="s">
        <v>494</v>
      </c>
      <c r="C9" s="2" t="s">
        <v>494</v>
      </c>
      <c r="D9" s="2" t="s">
        <v>495</v>
      </c>
      <c r="E9" s="2" t="e">
        <f>VLOOKUP($D9,字段属性!$A$2:$B$798,2,FALSE)</f>
        <v>#N/A</v>
      </c>
      <c r="F9" s="1" t="s">
        <v>488</v>
      </c>
      <c r="K9" s="3" t="s">
        <v>496</v>
      </c>
    </row>
    <row r="10" spans="1:11">
      <c r="A10" s="1">
        <f t="shared" si="0"/>
        <v>4</v>
      </c>
      <c r="B10" s="2" t="s">
        <v>497</v>
      </c>
      <c r="C10" s="2" t="s">
        <v>497</v>
      </c>
      <c r="D10" s="2" t="s">
        <v>498</v>
      </c>
      <c r="E10" s="2" t="e">
        <f>VLOOKUP($D10,字段属性!$A$2:$B$798,2,FALSE)</f>
        <v>#N/A</v>
      </c>
      <c r="F10" s="1" t="s">
        <v>488</v>
      </c>
      <c r="K10" s="3" t="s">
        <v>499</v>
      </c>
    </row>
    <row r="11" spans="1:11">
      <c r="A11" s="1">
        <f t="shared" si="0"/>
        <v>5</v>
      </c>
      <c r="B11" s="2" t="s">
        <v>500</v>
      </c>
      <c r="C11" s="2" t="s">
        <v>500</v>
      </c>
      <c r="D11" s="2" t="s">
        <v>501</v>
      </c>
      <c r="E11" s="2" t="e">
        <f>VLOOKUP($D11,字段属性!$A$2:$B$798,2,FALSE)</f>
        <v>#N/A</v>
      </c>
      <c r="F11" s="1" t="s">
        <v>488</v>
      </c>
      <c r="K11" s="3" t="s">
        <v>502</v>
      </c>
    </row>
    <row r="12" spans="1:11">
      <c r="A12" s="1">
        <f t="shared" si="0"/>
        <v>6</v>
      </c>
      <c r="B12" s="2" t="s">
        <v>503</v>
      </c>
      <c r="C12" s="2" t="s">
        <v>503</v>
      </c>
      <c r="D12" s="2" t="s">
        <v>504</v>
      </c>
      <c r="E12" s="2" t="e">
        <f>VLOOKUP($D12,字段属性!$A$2:$B$798,2,FALSE)</f>
        <v>#N/A</v>
      </c>
      <c r="K12" s="3" t="s">
        <v>505</v>
      </c>
    </row>
    <row r="13" spans="1:11">
      <c r="A13" s="1">
        <f t="shared" si="0"/>
        <v>7</v>
      </c>
      <c r="B13" s="2" t="s">
        <v>506</v>
      </c>
      <c r="C13" s="2" t="s">
        <v>506</v>
      </c>
      <c r="D13" s="2" t="s">
        <v>507</v>
      </c>
      <c r="E13" s="2" t="e">
        <f>VLOOKUP($D13,字段属性!$A$2:$B$798,2,FALSE)</f>
        <v>#N/A</v>
      </c>
      <c r="K13" s="3" t="s">
        <v>508</v>
      </c>
    </row>
    <row r="14" spans="1:11">
      <c r="A14" s="1">
        <f t="shared" si="0"/>
        <v>8</v>
      </c>
      <c r="B14" s="2" t="s">
        <v>509</v>
      </c>
      <c r="C14" s="2" t="s">
        <v>509</v>
      </c>
      <c r="D14" s="2" t="s">
        <v>501</v>
      </c>
      <c r="E14" s="2" t="e">
        <f>VLOOKUP($D14,字段属性!$A$2:$B$798,2,FALSE)</f>
        <v>#N/A</v>
      </c>
      <c r="K14" s="3" t="s">
        <v>510</v>
      </c>
    </row>
    <row r="15" spans="1:11">
      <c r="A15" s="1">
        <f t="shared" si="0"/>
        <v>9</v>
      </c>
      <c r="B15" s="2" t="s">
        <v>51</v>
      </c>
      <c r="C15" s="2" t="s">
        <v>511</v>
      </c>
      <c r="D15" s="2" t="s">
        <v>511</v>
      </c>
      <c r="E15" s="2" t="str">
        <f>VLOOKUP($D15,字段属性!$A$2:$B$798,2,FALSE)</f>
        <v>varchar(32)</v>
      </c>
      <c r="F15" s="1" t="s">
        <v>488</v>
      </c>
      <c r="G15" s="1">
        <v>1</v>
      </c>
      <c r="K15" s="3" t="s">
        <v>512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5"/>
  <dimension ref="A1:L17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A17" sqref="A17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741</v>
      </c>
      <c r="D3" s="8" t="s">
        <v>474</v>
      </c>
      <c r="E3" s="10" t="s">
        <v>740</v>
      </c>
      <c r="F3" s="11"/>
      <c r="G3" s="11"/>
      <c r="H3" s="11"/>
      <c r="I3" s="11"/>
      <c r="J3" s="11"/>
      <c r="K3" s="16"/>
      <c r="L3" s="14" t="s">
        <v>475</v>
      </c>
    </row>
    <row r="4" spans="1:11">
      <c r="A4" s="8" t="s">
        <v>476</v>
      </c>
      <c r="B4" s="8"/>
      <c r="C4" s="12" t="s">
        <v>833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2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K7" s="3" t="s">
        <v>819</v>
      </c>
    </row>
    <row r="8" spans="1:6">
      <c r="A8" s="1">
        <f t="shared" si="0"/>
        <v>2</v>
      </c>
      <c r="B8" s="2" t="s">
        <v>13</v>
      </c>
      <c r="C8" s="2" t="s">
        <v>12</v>
      </c>
      <c r="D8" s="2" t="s">
        <v>12</v>
      </c>
      <c r="E8" s="2" t="s">
        <v>6</v>
      </c>
      <c r="F8" s="1" t="s">
        <v>488</v>
      </c>
    </row>
    <row r="9" spans="1:5">
      <c r="A9" s="1">
        <f t="shared" si="0"/>
        <v>3</v>
      </c>
      <c r="B9" s="2" t="s">
        <v>809</v>
      </c>
      <c r="C9" s="2" t="s">
        <v>810</v>
      </c>
      <c r="D9" s="2" t="s">
        <v>14</v>
      </c>
      <c r="E9" s="2" t="s">
        <v>14</v>
      </c>
    </row>
    <row r="10" spans="1:5">
      <c r="A10" s="1">
        <f t="shared" si="0"/>
        <v>4</v>
      </c>
      <c r="B10" s="2" t="s">
        <v>67</v>
      </c>
      <c r="C10" s="2" t="s">
        <v>66</v>
      </c>
      <c r="D10" s="2" t="s">
        <v>66</v>
      </c>
      <c r="E10" s="2" t="s">
        <v>4</v>
      </c>
    </row>
    <row r="11" spans="1:5">
      <c r="A11" s="1">
        <f t="shared" si="0"/>
        <v>5</v>
      </c>
      <c r="B11" s="2" t="s">
        <v>811</v>
      </c>
      <c r="C11" s="2" t="s">
        <v>812</v>
      </c>
      <c r="D11" s="2" t="s">
        <v>14</v>
      </c>
      <c r="E11" s="2" t="s">
        <v>14</v>
      </c>
    </row>
    <row r="12" spans="1:6">
      <c r="A12" s="1">
        <f t="shared" si="0"/>
        <v>6</v>
      </c>
      <c r="B12" s="2" t="s">
        <v>32</v>
      </c>
      <c r="C12" s="2" t="s">
        <v>31</v>
      </c>
      <c r="D12" s="2" t="s">
        <v>31</v>
      </c>
      <c r="E12" s="2" t="s">
        <v>6</v>
      </c>
      <c r="F12" s="1" t="s">
        <v>488</v>
      </c>
    </row>
    <row r="13" spans="1:5">
      <c r="A13" s="1">
        <v>5</v>
      </c>
      <c r="B13" s="2" t="s">
        <v>834</v>
      </c>
      <c r="C13" s="2" t="s">
        <v>43</v>
      </c>
      <c r="D13" s="2" t="s">
        <v>43</v>
      </c>
      <c r="E13" s="2" t="s">
        <v>4</v>
      </c>
    </row>
    <row r="14" spans="1:5">
      <c r="A14" s="1">
        <f t="shared" ref="A14:A16" si="1">ROW()-6</f>
        <v>8</v>
      </c>
      <c r="B14" s="2" t="s">
        <v>35</v>
      </c>
      <c r="C14" s="2" t="s">
        <v>33</v>
      </c>
      <c r="D14" s="2" t="s">
        <v>33</v>
      </c>
      <c r="E14" s="2" t="s">
        <v>34</v>
      </c>
    </row>
    <row r="15" spans="1:11">
      <c r="A15" s="1">
        <f t="shared" si="1"/>
        <v>9</v>
      </c>
      <c r="B15" s="2" t="s">
        <v>38</v>
      </c>
      <c r="C15" s="2" t="s">
        <v>824</v>
      </c>
      <c r="D15" s="37" t="s">
        <v>36</v>
      </c>
      <c r="E15" s="2" t="s">
        <v>37</v>
      </c>
      <c r="K15" s="3" t="s">
        <v>835</v>
      </c>
    </row>
    <row r="16" spans="1:5">
      <c r="A16" s="1">
        <f t="shared" si="1"/>
        <v>10</v>
      </c>
      <c r="B16" s="2" t="s">
        <v>46</v>
      </c>
      <c r="C16" s="2" t="s">
        <v>45</v>
      </c>
      <c r="D16" s="2" t="s">
        <v>45</v>
      </c>
      <c r="E16" s="2" t="s">
        <v>10</v>
      </c>
    </row>
    <row r="17" spans="1:5">
      <c r="A17" s="1">
        <v>11</v>
      </c>
      <c r="B17" s="2" t="s">
        <v>836</v>
      </c>
      <c r="C17" s="2" t="s">
        <v>837</v>
      </c>
      <c r="D17" s="2" t="s">
        <v>14</v>
      </c>
      <c r="E17" s="2" t="s">
        <v>14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5"/>
  <dimension ref="A1:L12"/>
  <sheetViews>
    <sheetView view="pageBreakPreview" zoomScale="115" zoomScaleNormal="100" zoomScaleSheetLayoutView="115" workbookViewId="0">
      <pane ySplit="6" topLeftCell="A19" activePane="bottomLeft" state="frozen"/>
      <selection/>
      <selection pane="bottomLeft" activeCell="F8" sqref="F8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838</v>
      </c>
      <c r="D3" s="8" t="s">
        <v>474</v>
      </c>
      <c r="E3" s="10" t="s">
        <v>839</v>
      </c>
      <c r="F3" s="11"/>
      <c r="G3" s="11"/>
      <c r="H3" s="11"/>
      <c r="I3" s="11"/>
      <c r="J3" s="11"/>
      <c r="K3" s="16"/>
      <c r="L3" s="14" t="s">
        <v>475</v>
      </c>
    </row>
    <row r="4" spans="1:11">
      <c r="A4" s="8" t="s">
        <v>476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2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K7" s="3" t="s">
        <v>819</v>
      </c>
    </row>
    <row r="8" spans="1:5">
      <c r="A8" s="1">
        <f t="shared" si="0"/>
        <v>2</v>
      </c>
      <c r="B8" s="2" t="s">
        <v>32</v>
      </c>
      <c r="C8" s="2" t="s">
        <v>31</v>
      </c>
      <c r="D8" s="2" t="s">
        <v>31</v>
      </c>
      <c r="E8" s="2" t="s">
        <v>6</v>
      </c>
    </row>
    <row r="9" spans="1:5">
      <c r="A9" s="1">
        <f t="shared" si="0"/>
        <v>3</v>
      </c>
      <c r="B9" s="2" t="s">
        <v>35</v>
      </c>
      <c r="C9" s="2" t="s">
        <v>33</v>
      </c>
      <c r="D9" s="2" t="s">
        <v>33</v>
      </c>
      <c r="E9" s="2" t="s">
        <v>34</v>
      </c>
    </row>
    <row r="10" spans="1:11">
      <c r="A10" s="1">
        <f t="shared" si="0"/>
        <v>4</v>
      </c>
      <c r="B10" s="2" t="s">
        <v>38</v>
      </c>
      <c r="C10" s="2" t="s">
        <v>824</v>
      </c>
      <c r="D10" s="37" t="s">
        <v>36</v>
      </c>
      <c r="E10" s="2" t="s">
        <v>37</v>
      </c>
      <c r="K10" s="3" t="s">
        <v>835</v>
      </c>
    </row>
    <row r="11" spans="1:5">
      <c r="A11" s="1">
        <f t="shared" si="0"/>
        <v>5</v>
      </c>
      <c r="B11" s="2" t="s">
        <v>836</v>
      </c>
      <c r="C11" s="2" t="s">
        <v>837</v>
      </c>
      <c r="D11" s="2" t="s">
        <v>14</v>
      </c>
      <c r="E11" s="2" t="s">
        <v>14</v>
      </c>
    </row>
    <row r="12" spans="1:5">
      <c r="A12" s="1">
        <f t="shared" si="0"/>
        <v>6</v>
      </c>
      <c r="B12" s="2" t="s">
        <v>840</v>
      </c>
      <c r="C12" s="2" t="s">
        <v>841</v>
      </c>
      <c r="D12" s="2" t="s">
        <v>45</v>
      </c>
      <c r="E12" s="2" t="s">
        <v>10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7"/>
  <dimension ref="A1:L19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B18" sqref="B18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743</v>
      </c>
      <c r="D3" s="8" t="s">
        <v>474</v>
      </c>
      <c r="E3" s="10" t="s">
        <v>742</v>
      </c>
      <c r="F3" s="11"/>
      <c r="G3" s="11"/>
      <c r="H3" s="11"/>
      <c r="I3" s="11"/>
      <c r="J3" s="11"/>
      <c r="K3" s="16"/>
      <c r="L3" s="14" t="s">
        <v>475</v>
      </c>
    </row>
    <row r="4" spans="1:11">
      <c r="A4" s="8" t="s">
        <v>476</v>
      </c>
      <c r="B4" s="8"/>
      <c r="C4" s="12" t="s">
        <v>842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2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K7" s="3" t="s">
        <v>819</v>
      </c>
    </row>
    <row r="8" spans="1:6">
      <c r="A8" s="1">
        <f t="shared" si="0"/>
        <v>2</v>
      </c>
      <c r="B8" s="2" t="s">
        <v>13</v>
      </c>
      <c r="C8" s="2" t="s">
        <v>12</v>
      </c>
      <c r="D8" s="2" t="s">
        <v>12</v>
      </c>
      <c r="E8" s="2" t="s">
        <v>4</v>
      </c>
      <c r="F8" s="1" t="s">
        <v>488</v>
      </c>
    </row>
    <row r="9" spans="1:6">
      <c r="A9" s="1">
        <f t="shared" si="0"/>
        <v>3</v>
      </c>
      <c r="B9" s="2" t="s">
        <v>809</v>
      </c>
      <c r="C9" s="2" t="s">
        <v>810</v>
      </c>
      <c r="D9" s="2" t="s">
        <v>14</v>
      </c>
      <c r="E9" s="2" t="s">
        <v>14</v>
      </c>
      <c r="F9" s="1" t="s">
        <v>488</v>
      </c>
    </row>
    <row r="10" spans="1:5">
      <c r="A10" s="1">
        <f t="shared" si="0"/>
        <v>4</v>
      </c>
      <c r="B10" s="2" t="s">
        <v>67</v>
      </c>
      <c r="C10" s="2" t="s">
        <v>66</v>
      </c>
      <c r="D10" s="2" t="s">
        <v>66</v>
      </c>
      <c r="E10" s="2" t="s">
        <v>4</v>
      </c>
    </row>
    <row r="11" spans="1:5">
      <c r="A11" s="1">
        <f t="shared" si="0"/>
        <v>5</v>
      </c>
      <c r="B11" s="2" t="s">
        <v>811</v>
      </c>
      <c r="C11" s="2" t="s">
        <v>812</v>
      </c>
      <c r="D11" s="2" t="s">
        <v>14</v>
      </c>
      <c r="E11" s="2" t="s">
        <v>14</v>
      </c>
    </row>
    <row r="12" spans="1:6">
      <c r="A12" s="1">
        <f t="shared" si="0"/>
        <v>6</v>
      </c>
      <c r="B12" s="2" t="s">
        <v>843</v>
      </c>
      <c r="C12" s="2" t="s">
        <v>31</v>
      </c>
      <c r="D12" s="2" t="s">
        <v>31</v>
      </c>
      <c r="E12" s="2" t="s">
        <v>6</v>
      </c>
      <c r="F12" s="1" t="s">
        <v>488</v>
      </c>
    </row>
    <row r="13" spans="1:5">
      <c r="A13" s="1">
        <v>5</v>
      </c>
      <c r="B13" s="2" t="s">
        <v>834</v>
      </c>
      <c r="C13" s="2" t="s">
        <v>43</v>
      </c>
      <c r="D13" s="2" t="s">
        <v>43</v>
      </c>
      <c r="E13" s="2" t="s">
        <v>4</v>
      </c>
    </row>
    <row r="14" spans="1:5">
      <c r="A14" s="1">
        <f t="shared" ref="A14:A18" si="1">ROW()-6</f>
        <v>8</v>
      </c>
      <c r="B14" s="2" t="s">
        <v>844</v>
      </c>
      <c r="C14" s="2" t="s">
        <v>33</v>
      </c>
      <c r="D14" s="2" t="s">
        <v>33</v>
      </c>
      <c r="E14" s="2" t="s">
        <v>34</v>
      </c>
    </row>
    <row r="15" spans="1:11">
      <c r="A15" s="1">
        <f t="shared" si="1"/>
        <v>9</v>
      </c>
      <c r="B15" s="2" t="s">
        <v>375</v>
      </c>
      <c r="C15" s="2" t="s">
        <v>824</v>
      </c>
      <c r="D15" s="37" t="s">
        <v>36</v>
      </c>
      <c r="E15" s="2" t="s">
        <v>37</v>
      </c>
      <c r="K15" s="3" t="s">
        <v>845</v>
      </c>
    </row>
    <row r="16" spans="1:11">
      <c r="A16" s="1">
        <f t="shared" si="1"/>
        <v>10</v>
      </c>
      <c r="B16" s="2" t="s">
        <v>846</v>
      </c>
      <c r="C16" s="2" t="s">
        <v>847</v>
      </c>
      <c r="D16" s="37" t="s">
        <v>36</v>
      </c>
      <c r="E16" s="2" t="s">
        <v>37</v>
      </c>
      <c r="K16" s="3" t="s">
        <v>848</v>
      </c>
    </row>
    <row r="17" spans="1:11">
      <c r="A17" s="1">
        <f t="shared" si="1"/>
        <v>11</v>
      </c>
      <c r="B17" s="2" t="s">
        <v>263</v>
      </c>
      <c r="C17" s="2" t="s">
        <v>849</v>
      </c>
      <c r="D17" s="37" t="s">
        <v>36</v>
      </c>
      <c r="E17" s="2" t="s">
        <v>37</v>
      </c>
      <c r="K17" s="3" t="s">
        <v>850</v>
      </c>
    </row>
    <row r="18" spans="1:5">
      <c r="A18" s="1">
        <f t="shared" si="1"/>
        <v>12</v>
      </c>
      <c r="B18" s="2" t="s">
        <v>851</v>
      </c>
      <c r="C18" s="2" t="s">
        <v>45</v>
      </c>
      <c r="D18" s="2" t="s">
        <v>45</v>
      </c>
      <c r="E18" s="2" t="s">
        <v>154</v>
      </c>
    </row>
    <row r="19" spans="1:5">
      <c r="A19" s="1">
        <v>13</v>
      </c>
      <c r="B19" s="2" t="s">
        <v>852</v>
      </c>
      <c r="C19" s="2" t="s">
        <v>837</v>
      </c>
      <c r="D19" s="2" t="s">
        <v>14</v>
      </c>
      <c r="E19" s="2" t="s">
        <v>14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4"/>
  <dimension ref="A1:L14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C17" sqref="C17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745</v>
      </c>
      <c r="D3" s="8" t="s">
        <v>474</v>
      </c>
      <c r="E3" s="10" t="s">
        <v>744</v>
      </c>
      <c r="F3" s="11"/>
      <c r="G3" s="11"/>
      <c r="H3" s="11"/>
      <c r="I3" s="11"/>
      <c r="J3" s="11"/>
      <c r="K3" s="16"/>
      <c r="L3" s="14" t="s">
        <v>475</v>
      </c>
    </row>
    <row r="4" spans="1:11">
      <c r="A4" s="8" t="s">
        <v>476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K7" s="3" t="s">
        <v>819</v>
      </c>
    </row>
    <row r="8" spans="1:6">
      <c r="A8" s="1">
        <f>ROW()-6</f>
        <v>2</v>
      </c>
      <c r="B8" s="2" t="s">
        <v>843</v>
      </c>
      <c r="C8" s="2" t="s">
        <v>31</v>
      </c>
      <c r="D8" s="2" t="s">
        <v>31</v>
      </c>
      <c r="E8" s="2" t="s">
        <v>6</v>
      </c>
      <c r="F8" s="1" t="s">
        <v>488</v>
      </c>
    </row>
    <row r="9" spans="1:5">
      <c r="A9" s="1">
        <f t="shared" ref="A9:A14" si="0">ROW()-6</f>
        <v>3</v>
      </c>
      <c r="B9" s="2" t="s">
        <v>844</v>
      </c>
      <c r="C9" s="2" t="s">
        <v>33</v>
      </c>
      <c r="D9" s="2" t="s">
        <v>33</v>
      </c>
      <c r="E9" s="2" t="s">
        <v>34</v>
      </c>
    </row>
    <row r="10" spans="1:11">
      <c r="A10" s="1">
        <f t="shared" si="0"/>
        <v>4</v>
      </c>
      <c r="B10" s="2" t="s">
        <v>375</v>
      </c>
      <c r="C10" s="2" t="s">
        <v>824</v>
      </c>
      <c r="D10" s="37" t="s">
        <v>36</v>
      </c>
      <c r="E10" s="2" t="s">
        <v>37</v>
      </c>
      <c r="K10" s="3" t="s">
        <v>845</v>
      </c>
    </row>
    <row r="11" spans="1:11">
      <c r="A11" s="1">
        <f t="shared" si="0"/>
        <v>5</v>
      </c>
      <c r="B11" s="2" t="s">
        <v>846</v>
      </c>
      <c r="C11" s="2" t="s">
        <v>847</v>
      </c>
      <c r="D11" s="37" t="s">
        <v>36</v>
      </c>
      <c r="E11" s="2" t="s">
        <v>37</v>
      </c>
      <c r="K11" s="3" t="s">
        <v>848</v>
      </c>
    </row>
    <row r="12" spans="1:11">
      <c r="A12" s="1">
        <f t="shared" si="0"/>
        <v>6</v>
      </c>
      <c r="B12" s="2" t="s">
        <v>263</v>
      </c>
      <c r="C12" s="2" t="s">
        <v>849</v>
      </c>
      <c r="D12" s="37" t="s">
        <v>36</v>
      </c>
      <c r="E12" s="2" t="s">
        <v>37</v>
      </c>
      <c r="K12" s="3" t="s">
        <v>850</v>
      </c>
    </row>
    <row r="13" spans="1:5">
      <c r="A13" s="1">
        <f t="shared" si="0"/>
        <v>7</v>
      </c>
      <c r="B13" s="2" t="s">
        <v>852</v>
      </c>
      <c r="C13" s="2" t="s">
        <v>837</v>
      </c>
      <c r="D13" s="2" t="s">
        <v>14</v>
      </c>
      <c r="E13" s="2" t="s">
        <v>14</v>
      </c>
    </row>
    <row r="14" spans="1:5">
      <c r="A14" s="1">
        <f t="shared" si="0"/>
        <v>8</v>
      </c>
      <c r="B14" s="2" t="s">
        <v>840</v>
      </c>
      <c r="C14" s="2" t="s">
        <v>841</v>
      </c>
      <c r="D14" s="2" t="s">
        <v>45</v>
      </c>
      <c r="E14" s="2" t="s">
        <v>154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8"/>
  <dimension ref="A1:L13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C24" sqref="C24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8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747</v>
      </c>
      <c r="D3" s="8" t="s">
        <v>474</v>
      </c>
      <c r="E3" s="10" t="s">
        <v>746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 t="s">
        <v>842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3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I7" s="1" t="s">
        <v>489</v>
      </c>
      <c r="K7" s="3" t="s">
        <v>819</v>
      </c>
    </row>
    <row r="8" spans="1:6">
      <c r="A8" s="1">
        <f t="shared" si="0"/>
        <v>2</v>
      </c>
      <c r="B8" s="2" t="s">
        <v>853</v>
      </c>
      <c r="C8" s="2" t="s">
        <v>31</v>
      </c>
      <c r="D8" s="2" t="s">
        <v>31</v>
      </c>
      <c r="E8" s="2" t="s">
        <v>6</v>
      </c>
      <c r="F8" s="1" t="s">
        <v>488</v>
      </c>
    </row>
    <row r="9" spans="1:5">
      <c r="A9" s="1">
        <f t="shared" si="0"/>
        <v>3</v>
      </c>
      <c r="B9" s="2" t="s">
        <v>51</v>
      </c>
      <c r="C9" s="2" t="s">
        <v>50</v>
      </c>
      <c r="D9" s="2" t="s">
        <v>50</v>
      </c>
      <c r="E9" s="2" t="s">
        <v>6</v>
      </c>
    </row>
    <row r="10" ht="22.5" spans="1:11">
      <c r="A10" s="1">
        <f t="shared" si="0"/>
        <v>4</v>
      </c>
      <c r="B10" s="2" t="s">
        <v>38</v>
      </c>
      <c r="C10" s="2" t="s">
        <v>824</v>
      </c>
      <c r="D10" s="37" t="s">
        <v>36</v>
      </c>
      <c r="E10" s="2" t="s">
        <v>37</v>
      </c>
      <c r="K10" s="3" t="s">
        <v>854</v>
      </c>
    </row>
    <row r="11" spans="1:5">
      <c r="A11" s="1">
        <f t="shared" si="0"/>
        <v>5</v>
      </c>
      <c r="B11" s="2" t="s">
        <v>855</v>
      </c>
      <c r="C11" s="2" t="s">
        <v>856</v>
      </c>
      <c r="D11" s="2" t="s">
        <v>14</v>
      </c>
      <c r="E11" s="2" t="s">
        <v>14</v>
      </c>
    </row>
    <row r="12" spans="1:5">
      <c r="A12" s="1">
        <f t="shared" si="0"/>
        <v>6</v>
      </c>
      <c r="B12" s="2" t="s">
        <v>857</v>
      </c>
      <c r="C12" s="2" t="s">
        <v>70</v>
      </c>
      <c r="D12" s="2" t="s">
        <v>3</v>
      </c>
      <c r="E12" s="2" t="s">
        <v>4</v>
      </c>
    </row>
    <row r="13" spans="1:5">
      <c r="A13" s="1">
        <f t="shared" si="0"/>
        <v>7</v>
      </c>
      <c r="B13" s="2" t="s">
        <v>858</v>
      </c>
      <c r="C13" s="2" t="s">
        <v>45</v>
      </c>
      <c r="D13" s="2" t="s">
        <v>45</v>
      </c>
      <c r="E13" s="2" t="s">
        <v>154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1"/>
  <dimension ref="A1:L25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C27" sqref="C27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8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749</v>
      </c>
      <c r="D3" s="8" t="s">
        <v>474</v>
      </c>
      <c r="E3" s="10" t="s">
        <v>748</v>
      </c>
      <c r="F3" s="11"/>
      <c r="G3" s="11"/>
      <c r="H3" s="11"/>
      <c r="I3" s="11"/>
      <c r="J3" s="11"/>
      <c r="K3" s="16"/>
      <c r="L3" s="14" t="s">
        <v>475</v>
      </c>
    </row>
    <row r="4" spans="1:11">
      <c r="A4" s="8" t="s">
        <v>476</v>
      </c>
      <c r="B4" s="8"/>
      <c r="C4" s="12" t="s">
        <v>748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1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I7" s="1" t="s">
        <v>489</v>
      </c>
      <c r="K7" s="3" t="s">
        <v>819</v>
      </c>
    </row>
    <row r="8" spans="1:5">
      <c r="A8" s="1">
        <f t="shared" si="0"/>
        <v>2</v>
      </c>
      <c r="B8" s="2" t="s">
        <v>13</v>
      </c>
      <c r="C8" s="2" t="s">
        <v>12</v>
      </c>
      <c r="D8" s="2" t="s">
        <v>12</v>
      </c>
      <c r="E8" s="2" t="s">
        <v>4</v>
      </c>
    </row>
    <row r="9" spans="1:5">
      <c r="A9" s="1">
        <f t="shared" si="0"/>
        <v>3</v>
      </c>
      <c r="B9" s="2" t="s">
        <v>809</v>
      </c>
      <c r="C9" s="2" t="s">
        <v>810</v>
      </c>
      <c r="D9" s="2" t="s">
        <v>14</v>
      </c>
      <c r="E9" s="2" t="s">
        <v>14</v>
      </c>
    </row>
    <row r="10" spans="1:5">
      <c r="A10" s="1">
        <f t="shared" si="0"/>
        <v>4</v>
      </c>
      <c r="B10" s="2" t="s">
        <v>67</v>
      </c>
      <c r="C10" s="2" t="s">
        <v>66</v>
      </c>
      <c r="D10" s="2" t="s">
        <v>14</v>
      </c>
      <c r="E10" s="2" t="s">
        <v>14</v>
      </c>
    </row>
    <row r="11" spans="1:5">
      <c r="A11" s="1">
        <f t="shared" si="0"/>
        <v>5</v>
      </c>
      <c r="B11" s="2" t="s">
        <v>811</v>
      </c>
      <c r="C11" s="2" t="s">
        <v>812</v>
      </c>
      <c r="D11" s="2" t="s">
        <v>14</v>
      </c>
      <c r="E11" s="2" t="s">
        <v>14</v>
      </c>
    </row>
    <row r="12" spans="1:6">
      <c r="A12" s="1">
        <f t="shared" ref="A12:A25" si="1">ROW()-6</f>
        <v>6</v>
      </c>
      <c r="B12" s="2" t="s">
        <v>73</v>
      </c>
      <c r="C12" s="2" t="s">
        <v>859</v>
      </c>
      <c r="D12" s="2" t="s">
        <v>72</v>
      </c>
      <c r="E12" s="2" t="s">
        <v>10</v>
      </c>
      <c r="F12" s="1" t="s">
        <v>488</v>
      </c>
    </row>
    <row r="13" spans="1:5">
      <c r="A13" s="1">
        <f t="shared" si="1"/>
        <v>7</v>
      </c>
      <c r="B13" s="2" t="s">
        <v>860</v>
      </c>
      <c r="C13" s="2" t="s">
        <v>45</v>
      </c>
      <c r="D13" s="2" t="s">
        <v>45</v>
      </c>
      <c r="E13" s="2" t="s">
        <v>10</v>
      </c>
    </row>
    <row r="14" spans="1:5">
      <c r="A14" s="1">
        <f t="shared" si="1"/>
        <v>8</v>
      </c>
      <c r="B14" s="2" t="s">
        <v>861</v>
      </c>
      <c r="C14" s="2" t="s">
        <v>862</v>
      </c>
      <c r="D14" s="2" t="s">
        <v>47</v>
      </c>
      <c r="E14" s="2" t="s">
        <v>48</v>
      </c>
    </row>
    <row r="15" spans="1:5">
      <c r="A15" s="1">
        <f t="shared" si="1"/>
        <v>9</v>
      </c>
      <c r="B15" s="2" t="s">
        <v>863</v>
      </c>
      <c r="C15" s="2" t="s">
        <v>864</v>
      </c>
      <c r="D15" s="2" t="s">
        <v>47</v>
      </c>
      <c r="E15" s="2" t="s">
        <v>48</v>
      </c>
    </row>
    <row r="16" s="24" customFormat="1" spans="1:12">
      <c r="A16" s="23">
        <f t="shared" si="1"/>
        <v>10</v>
      </c>
      <c r="B16" s="24" t="s">
        <v>75</v>
      </c>
      <c r="C16" s="24" t="s">
        <v>74</v>
      </c>
      <c r="D16" s="24" t="s">
        <v>74</v>
      </c>
      <c r="E16" s="24" t="s">
        <v>4</v>
      </c>
      <c r="F16" s="23"/>
      <c r="G16" s="23"/>
      <c r="H16" s="23"/>
      <c r="I16" s="23"/>
      <c r="K16" s="25"/>
      <c r="L16" s="23"/>
    </row>
    <row r="17" s="24" customFormat="1" spans="1:12">
      <c r="A17" s="23">
        <f t="shared" si="1"/>
        <v>11</v>
      </c>
      <c r="B17" s="24" t="s">
        <v>77</v>
      </c>
      <c r="C17" s="24" t="s">
        <v>76</v>
      </c>
      <c r="D17" s="24" t="s">
        <v>76</v>
      </c>
      <c r="E17" s="24" t="s">
        <v>4</v>
      </c>
      <c r="F17" s="23"/>
      <c r="G17" s="23"/>
      <c r="H17" s="23"/>
      <c r="I17" s="23"/>
      <c r="K17" s="25"/>
      <c r="L17" s="23"/>
    </row>
    <row r="18" s="24" customFormat="1" spans="1:12">
      <c r="A18" s="23">
        <f t="shared" si="1"/>
        <v>12</v>
      </c>
      <c r="B18" s="24" t="s">
        <v>79</v>
      </c>
      <c r="C18" s="24" t="s">
        <v>78</v>
      </c>
      <c r="D18" s="24" t="s">
        <v>78</v>
      </c>
      <c r="E18" s="24" t="s">
        <v>4</v>
      </c>
      <c r="F18" s="23"/>
      <c r="G18" s="23"/>
      <c r="H18" s="23"/>
      <c r="I18" s="23"/>
      <c r="K18" s="25"/>
      <c r="L18" s="23"/>
    </row>
    <row r="19" s="24" customFormat="1" spans="1:12">
      <c r="A19" s="23">
        <v>13</v>
      </c>
      <c r="B19" s="24" t="s">
        <v>865</v>
      </c>
      <c r="C19" s="24" t="s">
        <v>866</v>
      </c>
      <c r="D19" s="24" t="s">
        <v>78</v>
      </c>
      <c r="E19" s="24" t="s">
        <v>4</v>
      </c>
      <c r="F19" s="23"/>
      <c r="G19" s="23"/>
      <c r="H19" s="23"/>
      <c r="I19" s="23"/>
      <c r="K19" s="25"/>
      <c r="L19" s="23"/>
    </row>
    <row r="20" spans="1:5">
      <c r="A20" s="1">
        <f t="shared" ref="A20:A25" si="2">ROW()-6</f>
        <v>14</v>
      </c>
      <c r="B20" s="2" t="s">
        <v>82</v>
      </c>
      <c r="C20" s="2" t="s">
        <v>80</v>
      </c>
      <c r="D20" s="2" t="s">
        <v>80</v>
      </c>
      <c r="E20" s="2" t="s">
        <v>81</v>
      </c>
    </row>
    <row r="21" spans="1:5">
      <c r="A21" s="1">
        <f t="shared" si="2"/>
        <v>15</v>
      </c>
      <c r="B21" s="2" t="s">
        <v>84</v>
      </c>
      <c r="C21" s="2" t="s">
        <v>83</v>
      </c>
      <c r="D21" s="2" t="s">
        <v>83</v>
      </c>
      <c r="E21" s="2" t="s">
        <v>81</v>
      </c>
    </row>
    <row r="22" ht="22.5" spans="1:11">
      <c r="A22" s="1">
        <f t="shared" si="2"/>
        <v>16</v>
      </c>
      <c r="B22" s="2" t="s">
        <v>867</v>
      </c>
      <c r="C22" s="2" t="s">
        <v>868</v>
      </c>
      <c r="D22" s="39" t="s">
        <v>36</v>
      </c>
      <c r="E22" s="2" t="s">
        <v>37</v>
      </c>
      <c r="K22" s="3" t="s">
        <v>869</v>
      </c>
    </row>
    <row r="23" spans="1:5">
      <c r="A23" s="1">
        <f t="shared" si="2"/>
        <v>17</v>
      </c>
      <c r="B23" s="2" t="s">
        <v>86</v>
      </c>
      <c r="C23" s="2" t="s">
        <v>85</v>
      </c>
      <c r="D23" s="2" t="s">
        <v>85</v>
      </c>
      <c r="E23" s="2" t="s">
        <v>81</v>
      </c>
    </row>
    <row r="24" spans="1:5">
      <c r="A24" s="1">
        <f t="shared" si="2"/>
        <v>18</v>
      </c>
      <c r="B24" s="2" t="s">
        <v>870</v>
      </c>
      <c r="C24" s="2" t="s">
        <v>871</v>
      </c>
      <c r="D24" s="39" t="s">
        <v>36</v>
      </c>
      <c r="E24" s="2" t="s">
        <v>37</v>
      </c>
    </row>
    <row r="25" spans="1:5">
      <c r="A25" s="1">
        <f t="shared" si="2"/>
        <v>19</v>
      </c>
      <c r="B25" s="2" t="s">
        <v>872</v>
      </c>
      <c r="C25" s="2" t="s">
        <v>873</v>
      </c>
      <c r="D25" s="39" t="s">
        <v>36</v>
      </c>
      <c r="E25" s="2" t="s">
        <v>37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2"/>
  <dimension ref="A1:L13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D13" sqref="D13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751</v>
      </c>
      <c r="D3" s="8" t="s">
        <v>474</v>
      </c>
      <c r="E3" s="10" t="s">
        <v>750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 t="s">
        <v>750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3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I7" s="1" t="s">
        <v>489</v>
      </c>
      <c r="K7" s="3" t="s">
        <v>819</v>
      </c>
    </row>
    <row r="8" spans="1:5">
      <c r="A8" s="1">
        <f t="shared" si="0"/>
        <v>2</v>
      </c>
      <c r="B8" s="2" t="s">
        <v>13</v>
      </c>
      <c r="C8" s="2" t="s">
        <v>12</v>
      </c>
      <c r="D8" s="2" t="s">
        <v>12</v>
      </c>
      <c r="E8" s="2" t="s">
        <v>6</v>
      </c>
    </row>
    <row r="9" spans="1:5">
      <c r="A9" s="1">
        <f t="shared" si="0"/>
        <v>3</v>
      </c>
      <c r="B9" s="2" t="s">
        <v>809</v>
      </c>
      <c r="C9" s="2" t="s">
        <v>810</v>
      </c>
      <c r="D9" s="2" t="s">
        <v>14</v>
      </c>
      <c r="E9" s="2" t="s">
        <v>14</v>
      </c>
    </row>
    <row r="10" spans="1:5">
      <c r="A10" s="1">
        <f t="shared" si="0"/>
        <v>4</v>
      </c>
      <c r="B10" s="2" t="s">
        <v>67</v>
      </c>
      <c r="C10" s="2" t="s">
        <v>66</v>
      </c>
      <c r="D10" s="2" t="s">
        <v>66</v>
      </c>
      <c r="E10" s="2" t="s">
        <v>4</v>
      </c>
    </row>
    <row r="11" spans="1:5">
      <c r="A11" s="1">
        <f t="shared" si="0"/>
        <v>5</v>
      </c>
      <c r="B11" s="2" t="s">
        <v>811</v>
      </c>
      <c r="C11" s="2" t="s">
        <v>812</v>
      </c>
      <c r="D11" s="2" t="s">
        <v>14</v>
      </c>
      <c r="E11" s="2" t="s">
        <v>14</v>
      </c>
    </row>
    <row r="12" spans="1:5">
      <c r="A12" s="1">
        <f t="shared" si="0"/>
        <v>6</v>
      </c>
      <c r="B12" s="2" t="s">
        <v>874</v>
      </c>
      <c r="C12" s="2" t="s">
        <v>87</v>
      </c>
      <c r="D12" s="2" t="s">
        <v>87</v>
      </c>
      <c r="E12" s="2" t="s">
        <v>57</v>
      </c>
    </row>
    <row r="13" spans="1:5">
      <c r="A13" s="1">
        <f t="shared" si="0"/>
        <v>7</v>
      </c>
      <c r="B13" s="2" t="s">
        <v>40</v>
      </c>
      <c r="C13" s="2" t="s">
        <v>70</v>
      </c>
      <c r="D13" s="2" t="s">
        <v>70</v>
      </c>
      <c r="E13" s="2" t="s">
        <v>4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6"/>
  <dimension ref="A1:L14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L5" sqref="L5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753</v>
      </c>
      <c r="D3" s="8" t="s">
        <v>474</v>
      </c>
      <c r="E3" s="10" t="s">
        <v>752</v>
      </c>
      <c r="F3" s="11"/>
      <c r="G3" s="11"/>
      <c r="H3" s="11"/>
      <c r="I3" s="11"/>
      <c r="J3" s="11"/>
      <c r="K3" s="16"/>
      <c r="L3" s="14" t="s">
        <v>475</v>
      </c>
    </row>
    <row r="4" spans="1:11">
      <c r="A4" s="8" t="s">
        <v>476</v>
      </c>
      <c r="B4" s="8"/>
      <c r="C4" s="13" t="s">
        <v>875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2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I7" s="1" t="s">
        <v>489</v>
      </c>
      <c r="K7" s="3" t="s">
        <v>819</v>
      </c>
    </row>
    <row r="8" spans="1:5">
      <c r="A8" s="1">
        <f t="shared" si="0"/>
        <v>2</v>
      </c>
      <c r="B8" s="2" t="s">
        <v>13</v>
      </c>
      <c r="C8" s="2" t="s">
        <v>12</v>
      </c>
      <c r="D8" s="2" t="s">
        <v>12</v>
      </c>
      <c r="E8" s="2" t="s">
        <v>4</v>
      </c>
    </row>
    <row r="9" spans="1:5">
      <c r="A9" s="1">
        <f t="shared" si="0"/>
        <v>3</v>
      </c>
      <c r="B9" s="2" t="s">
        <v>809</v>
      </c>
      <c r="C9" s="2" t="s">
        <v>810</v>
      </c>
      <c r="D9" s="2" t="s">
        <v>14</v>
      </c>
      <c r="E9" s="2" t="s">
        <v>14</v>
      </c>
    </row>
    <row r="10" spans="1:5">
      <c r="A10" s="1">
        <f t="shared" si="0"/>
        <v>4</v>
      </c>
      <c r="B10" s="2" t="s">
        <v>67</v>
      </c>
      <c r="C10" s="2" t="s">
        <v>66</v>
      </c>
      <c r="D10" s="2" t="s">
        <v>66</v>
      </c>
      <c r="E10" s="2" t="s">
        <v>57</v>
      </c>
    </row>
    <row r="11" spans="1:5">
      <c r="A11" s="1">
        <f t="shared" si="0"/>
        <v>5</v>
      </c>
      <c r="B11" s="2" t="s">
        <v>811</v>
      </c>
      <c r="C11" s="2" t="s">
        <v>812</v>
      </c>
      <c r="D11" s="2" t="s">
        <v>14</v>
      </c>
      <c r="E11" s="2" t="s">
        <v>14</v>
      </c>
    </row>
    <row r="12" spans="1:5">
      <c r="A12" s="1">
        <f t="shared" si="0"/>
        <v>6</v>
      </c>
      <c r="B12" s="2" t="s">
        <v>876</v>
      </c>
      <c r="C12" s="2" t="s">
        <v>222</v>
      </c>
      <c r="D12" s="2" t="s">
        <v>222</v>
      </c>
      <c r="E12" s="2" t="s">
        <v>213</v>
      </c>
    </row>
    <row r="13" spans="1:5">
      <c r="A13" s="1">
        <v>7</v>
      </c>
      <c r="B13" s="2" t="s">
        <v>877</v>
      </c>
      <c r="C13" s="2" t="s">
        <v>223</v>
      </c>
      <c r="D13" s="2" t="s">
        <v>223</v>
      </c>
      <c r="E13" s="2" t="s">
        <v>6</v>
      </c>
    </row>
    <row r="14" spans="1:5">
      <c r="A14" s="1">
        <f>ROW()-6</f>
        <v>8</v>
      </c>
      <c r="B14" s="2" t="s">
        <v>51</v>
      </c>
      <c r="C14" s="2" t="s">
        <v>224</v>
      </c>
      <c r="D14" s="2" t="s">
        <v>224</v>
      </c>
      <c r="E14" s="2" t="s">
        <v>6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3"/>
  <dimension ref="A1:L22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B24" sqref="B24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755</v>
      </c>
      <c r="D3" s="8" t="s">
        <v>474</v>
      </c>
      <c r="E3" s="10" t="s">
        <v>754</v>
      </c>
      <c r="F3" s="11"/>
      <c r="G3" s="11"/>
      <c r="H3" s="11"/>
      <c r="I3" s="11"/>
      <c r="J3" s="11"/>
      <c r="K3" s="16"/>
      <c r="L3" s="14" t="s">
        <v>475</v>
      </c>
    </row>
    <row r="4" spans="1:11">
      <c r="A4" s="8" t="s">
        <v>476</v>
      </c>
      <c r="B4" s="8"/>
      <c r="C4" s="13" t="s">
        <v>878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2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I7" s="1" t="s">
        <v>489</v>
      </c>
      <c r="K7" s="3" t="s">
        <v>819</v>
      </c>
    </row>
    <row r="8" spans="1:11">
      <c r="A8" s="1">
        <f t="shared" si="0"/>
        <v>2</v>
      </c>
      <c r="B8" s="2" t="s">
        <v>13</v>
      </c>
      <c r="C8" s="2" t="s">
        <v>12</v>
      </c>
      <c r="D8" s="2" t="s">
        <v>12</v>
      </c>
      <c r="E8" s="2" t="s">
        <v>4</v>
      </c>
      <c r="K8" s="3" t="s">
        <v>879</v>
      </c>
    </row>
    <row r="9" spans="1:5">
      <c r="A9" s="1">
        <f t="shared" si="0"/>
        <v>3</v>
      </c>
      <c r="B9" s="2" t="s">
        <v>809</v>
      </c>
      <c r="C9" s="2" t="s">
        <v>810</v>
      </c>
      <c r="D9" s="2" t="s">
        <v>14</v>
      </c>
      <c r="E9" s="2" t="s">
        <v>14</v>
      </c>
    </row>
    <row r="10" spans="1:5">
      <c r="A10" s="1">
        <f t="shared" si="0"/>
        <v>4</v>
      </c>
      <c r="B10" s="2" t="s">
        <v>67</v>
      </c>
      <c r="C10" s="2" t="s">
        <v>66</v>
      </c>
      <c r="D10" s="2" t="s">
        <v>66</v>
      </c>
      <c r="E10" s="2" t="s">
        <v>57</v>
      </c>
    </row>
    <row r="11" spans="1:5">
      <c r="A11" s="1">
        <f t="shared" si="0"/>
        <v>5</v>
      </c>
      <c r="B11" s="2" t="s">
        <v>811</v>
      </c>
      <c r="C11" s="2" t="s">
        <v>812</v>
      </c>
      <c r="D11" s="2" t="s">
        <v>14</v>
      </c>
      <c r="E11" s="2" t="s">
        <v>14</v>
      </c>
    </row>
    <row r="12" spans="1:6">
      <c r="A12" s="1">
        <f t="shared" si="0"/>
        <v>6</v>
      </c>
      <c r="B12" s="2" t="s">
        <v>89</v>
      </c>
      <c r="C12" s="2" t="s">
        <v>41</v>
      </c>
      <c r="D12" s="2" t="s">
        <v>41</v>
      </c>
      <c r="E12" s="2" t="s">
        <v>6</v>
      </c>
      <c r="F12" s="1" t="s">
        <v>488</v>
      </c>
    </row>
    <row r="13" spans="1:11">
      <c r="A13" s="1">
        <v>7</v>
      </c>
      <c r="B13" s="2" t="s">
        <v>880</v>
      </c>
      <c r="C13" s="2" t="s">
        <v>881</v>
      </c>
      <c r="D13" s="37" t="s">
        <v>36</v>
      </c>
      <c r="E13" s="2" t="s">
        <v>37</v>
      </c>
      <c r="K13" s="3" t="s">
        <v>882</v>
      </c>
    </row>
    <row r="14" spans="1:5">
      <c r="A14" s="1">
        <f t="shared" ref="A14:A18" si="1">ROW()-6</f>
        <v>8</v>
      </c>
      <c r="B14" s="2" t="s">
        <v>40</v>
      </c>
      <c r="C14" s="2" t="s">
        <v>70</v>
      </c>
      <c r="D14" s="2" t="s">
        <v>70</v>
      </c>
      <c r="E14" s="2" t="s">
        <v>4</v>
      </c>
    </row>
    <row r="15" spans="1:5">
      <c r="A15" s="1">
        <f t="shared" si="1"/>
        <v>9</v>
      </c>
      <c r="B15" s="2" t="s">
        <v>883</v>
      </c>
      <c r="C15" s="2" t="s">
        <v>884</v>
      </c>
      <c r="D15" s="2" t="s">
        <v>3</v>
      </c>
      <c r="E15" s="2" t="s">
        <v>4</v>
      </c>
    </row>
    <row r="16" spans="1:5">
      <c r="A16" s="1">
        <f t="shared" si="1"/>
        <v>10</v>
      </c>
      <c r="B16" s="2" t="s">
        <v>885</v>
      </c>
      <c r="C16" s="2" t="s">
        <v>862</v>
      </c>
      <c r="D16" s="2" t="s">
        <v>47</v>
      </c>
      <c r="E16" s="2" t="s">
        <v>48</v>
      </c>
    </row>
    <row r="17" spans="1:5">
      <c r="A17" s="1">
        <f t="shared" si="1"/>
        <v>11</v>
      </c>
      <c r="B17" s="2" t="s">
        <v>886</v>
      </c>
      <c r="C17" s="2" t="s">
        <v>864</v>
      </c>
      <c r="D17" s="2" t="s">
        <v>47</v>
      </c>
      <c r="E17" s="2" t="s">
        <v>48</v>
      </c>
    </row>
    <row r="18" spans="1:11">
      <c r="A18" s="1">
        <f t="shared" si="1"/>
        <v>12</v>
      </c>
      <c r="B18" s="2" t="s">
        <v>38</v>
      </c>
      <c r="C18" s="2" t="s">
        <v>824</v>
      </c>
      <c r="D18" s="37" t="s">
        <v>36</v>
      </c>
      <c r="E18" s="2" t="s">
        <v>37</v>
      </c>
      <c r="K18" s="3" t="s">
        <v>887</v>
      </c>
    </row>
    <row r="19" spans="1:5">
      <c r="A19" s="1">
        <v>13</v>
      </c>
      <c r="B19" s="2" t="s">
        <v>867</v>
      </c>
      <c r="C19" s="2" t="s">
        <v>868</v>
      </c>
      <c r="D19" s="37" t="s">
        <v>36</v>
      </c>
      <c r="E19" s="2" t="s">
        <v>37</v>
      </c>
    </row>
    <row r="20" spans="1:8">
      <c r="A20" s="21">
        <f>ROW()-6</f>
        <v>14</v>
      </c>
      <c r="B20" s="22" t="s">
        <v>32</v>
      </c>
      <c r="C20" s="22" t="s">
        <v>888</v>
      </c>
      <c r="D20" s="22" t="s">
        <v>31</v>
      </c>
      <c r="E20" s="22" t="s">
        <v>6</v>
      </c>
      <c r="F20" s="23"/>
      <c r="G20" s="23"/>
      <c r="H20" s="23"/>
    </row>
    <row r="21" spans="1:8">
      <c r="A21" s="21">
        <f>ROW()-6</f>
        <v>15</v>
      </c>
      <c r="B21" s="22" t="s">
        <v>843</v>
      </c>
      <c r="C21" s="22" t="s">
        <v>889</v>
      </c>
      <c r="D21" s="22" t="s">
        <v>31</v>
      </c>
      <c r="E21" s="22" t="s">
        <v>6</v>
      </c>
      <c r="F21" s="23"/>
      <c r="G21" s="23"/>
      <c r="H21" s="23"/>
    </row>
    <row r="22" spans="1:5">
      <c r="A22" s="1">
        <v>16</v>
      </c>
      <c r="B22" s="2" t="s">
        <v>890</v>
      </c>
      <c r="C22" s="2" t="s">
        <v>891</v>
      </c>
      <c r="D22" s="2" t="s">
        <v>3</v>
      </c>
      <c r="E22" s="2" t="s">
        <v>4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4"/>
  <dimension ref="A1:L9"/>
  <sheetViews>
    <sheetView view="pageBreakPreview" zoomScale="115" zoomScaleNormal="100" zoomScaleSheetLayoutView="115" workbookViewId="0">
      <pane ySplit="6" topLeftCell="A13" activePane="bottomLeft" state="frozen"/>
      <selection/>
      <selection pane="bottomLeft" activeCell="C14" sqref="C14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8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757</v>
      </c>
      <c r="D3" s="8" t="s">
        <v>474</v>
      </c>
      <c r="E3" s="10" t="s">
        <v>756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3" t="s">
        <v>892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9">
      <c r="A7" s="1">
        <f t="shared" ref="A7:A9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I7" s="1" t="s">
        <v>489</v>
      </c>
    </row>
    <row r="8" spans="1:6">
      <c r="A8" s="1">
        <f t="shared" si="0"/>
        <v>2</v>
      </c>
      <c r="B8" s="2" t="s">
        <v>893</v>
      </c>
      <c r="C8" s="2" t="s">
        <v>43</v>
      </c>
      <c r="D8" s="2" t="s">
        <v>43</v>
      </c>
      <c r="E8" s="2" t="s">
        <v>4</v>
      </c>
      <c r="F8" s="1" t="s">
        <v>488</v>
      </c>
    </row>
    <row r="9" spans="1:6">
      <c r="A9" s="1">
        <f t="shared" si="0"/>
        <v>3</v>
      </c>
      <c r="B9" s="2" t="s">
        <v>894</v>
      </c>
      <c r="C9" s="2" t="s">
        <v>54</v>
      </c>
      <c r="D9" s="2" t="s">
        <v>54</v>
      </c>
      <c r="E9" s="2" t="s">
        <v>4</v>
      </c>
      <c r="F9" s="1" t="s">
        <v>488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5"/>
  <dimension ref="A1:L13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C13" sqref="C13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759</v>
      </c>
      <c r="D3" s="8" t="s">
        <v>474</v>
      </c>
      <c r="E3" s="10" t="s">
        <v>758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 t="s">
        <v>895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3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I7" s="1" t="s">
        <v>489</v>
      </c>
      <c r="K7" s="3" t="s">
        <v>819</v>
      </c>
    </row>
    <row r="8" spans="1:5">
      <c r="A8" s="1">
        <f t="shared" si="0"/>
        <v>2</v>
      </c>
      <c r="B8" s="2" t="s">
        <v>32</v>
      </c>
      <c r="C8" s="2" t="s">
        <v>31</v>
      </c>
      <c r="D8" s="2" t="s">
        <v>31</v>
      </c>
      <c r="E8" s="2" t="s">
        <v>6</v>
      </c>
    </row>
    <row r="9" spans="1:5">
      <c r="A9" s="1">
        <f t="shared" si="0"/>
        <v>3</v>
      </c>
      <c r="B9" s="2" t="s">
        <v>53</v>
      </c>
      <c r="C9" s="2" t="s">
        <v>896</v>
      </c>
      <c r="D9" s="2" t="s">
        <v>52</v>
      </c>
      <c r="E9" s="2" t="s">
        <v>4</v>
      </c>
    </row>
    <row r="10" spans="1:5">
      <c r="A10" s="1">
        <f t="shared" si="0"/>
        <v>4</v>
      </c>
      <c r="B10" s="2" t="s">
        <v>897</v>
      </c>
      <c r="C10" s="2" t="s">
        <v>898</v>
      </c>
      <c r="D10" s="2" t="s">
        <v>14</v>
      </c>
      <c r="E10" s="2" t="s">
        <v>14</v>
      </c>
    </row>
    <row r="11" ht="22.5" spans="1:11">
      <c r="A11" s="1">
        <f t="shared" si="0"/>
        <v>5</v>
      </c>
      <c r="B11" s="2" t="s">
        <v>899</v>
      </c>
      <c r="C11" s="2" t="s">
        <v>900</v>
      </c>
      <c r="D11" s="37" t="s">
        <v>36</v>
      </c>
      <c r="E11" s="2" t="s">
        <v>37</v>
      </c>
      <c r="K11" s="3" t="s">
        <v>901</v>
      </c>
    </row>
    <row r="12" ht="22.5" spans="1:11">
      <c r="A12" s="1">
        <f t="shared" si="0"/>
        <v>6</v>
      </c>
      <c r="B12" s="2" t="s">
        <v>902</v>
      </c>
      <c r="C12" s="2" t="s">
        <v>903</v>
      </c>
      <c r="D12" s="37" t="s">
        <v>36</v>
      </c>
      <c r="E12" s="2" t="s">
        <v>37</v>
      </c>
      <c r="K12" s="3" t="s">
        <v>904</v>
      </c>
    </row>
    <row r="13" spans="1:5">
      <c r="A13" s="1">
        <v>7</v>
      </c>
      <c r="B13" s="2" t="s">
        <v>2</v>
      </c>
      <c r="C13" s="2" t="s">
        <v>68</v>
      </c>
      <c r="D13" s="2" t="s">
        <v>68</v>
      </c>
      <c r="E13" s="2" t="s">
        <v>69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7"/>
  <dimension ref="A1:L22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D17" sqref="D17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761</v>
      </c>
      <c r="D3" s="8" t="s">
        <v>474</v>
      </c>
      <c r="E3" s="10" t="s">
        <v>760</v>
      </c>
      <c r="F3" s="11"/>
      <c r="G3" s="11"/>
      <c r="H3" s="11"/>
      <c r="I3" s="11"/>
      <c r="J3" s="11"/>
      <c r="K3" s="16"/>
      <c r="L3" s="14" t="s">
        <v>475</v>
      </c>
    </row>
    <row r="4" spans="1:11">
      <c r="A4" s="8" t="s">
        <v>476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22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I7" s="1" t="s">
        <v>489</v>
      </c>
      <c r="K7" s="3" t="s">
        <v>819</v>
      </c>
    </row>
    <row r="8" spans="1:5">
      <c r="A8" s="1">
        <f t="shared" si="0"/>
        <v>2</v>
      </c>
      <c r="B8" s="2" t="s">
        <v>13</v>
      </c>
      <c r="C8" s="2" t="s">
        <v>12</v>
      </c>
      <c r="D8" s="2" t="s">
        <v>12</v>
      </c>
      <c r="E8" s="2" t="s">
        <v>4</v>
      </c>
    </row>
    <row r="9" spans="1:5">
      <c r="A9" s="1">
        <f t="shared" si="0"/>
        <v>3</v>
      </c>
      <c r="B9" s="2" t="s">
        <v>809</v>
      </c>
      <c r="C9" s="2" t="s">
        <v>810</v>
      </c>
      <c r="D9" s="2" t="s">
        <v>14</v>
      </c>
      <c r="E9" s="2" t="s">
        <v>14</v>
      </c>
    </row>
    <row r="10" spans="1:5">
      <c r="A10" s="1">
        <f t="shared" si="0"/>
        <v>4</v>
      </c>
      <c r="B10" s="2" t="s">
        <v>67</v>
      </c>
      <c r="C10" s="2" t="s">
        <v>66</v>
      </c>
      <c r="D10" s="2" t="s">
        <v>66</v>
      </c>
      <c r="E10" s="2" t="s">
        <v>4</v>
      </c>
    </row>
    <row r="11" spans="1:5">
      <c r="A11" s="1">
        <f t="shared" si="0"/>
        <v>5</v>
      </c>
      <c r="B11" s="2" t="s">
        <v>811</v>
      </c>
      <c r="C11" s="2" t="s">
        <v>812</v>
      </c>
      <c r="D11" s="2" t="s">
        <v>14</v>
      </c>
      <c r="E11" s="2" t="s">
        <v>14</v>
      </c>
    </row>
    <row r="12" spans="1:5">
      <c r="A12" s="1">
        <f t="shared" si="0"/>
        <v>6</v>
      </c>
      <c r="B12" s="2" t="s">
        <v>905</v>
      </c>
      <c r="C12" s="2" t="s">
        <v>111</v>
      </c>
      <c r="D12" s="2" t="s">
        <v>111</v>
      </c>
      <c r="E12" s="2" t="s">
        <v>4</v>
      </c>
    </row>
    <row r="13" spans="1:5">
      <c r="A13" s="1">
        <f t="shared" si="0"/>
        <v>7</v>
      </c>
      <c r="B13" s="2" t="s">
        <v>906</v>
      </c>
      <c r="C13" s="2" t="s">
        <v>907</v>
      </c>
      <c r="D13" s="2" t="s">
        <v>217</v>
      </c>
      <c r="E13" s="2" t="s">
        <v>218</v>
      </c>
    </row>
    <row r="14" spans="1:5">
      <c r="A14" s="1">
        <f t="shared" si="0"/>
        <v>8</v>
      </c>
      <c r="B14" s="2" t="s">
        <v>908</v>
      </c>
      <c r="C14" s="2" t="s">
        <v>909</v>
      </c>
      <c r="D14" s="2" t="s">
        <v>217</v>
      </c>
      <c r="E14" s="2" t="s">
        <v>218</v>
      </c>
    </row>
    <row r="15" spans="1:5">
      <c r="A15" s="1">
        <f t="shared" si="0"/>
        <v>9</v>
      </c>
      <c r="B15" s="2" t="s">
        <v>114</v>
      </c>
      <c r="C15" s="2" t="s">
        <v>113</v>
      </c>
      <c r="D15" s="2" t="s">
        <v>113</v>
      </c>
      <c r="E15" s="2" t="s">
        <v>57</v>
      </c>
    </row>
    <row r="16" spans="1:5">
      <c r="A16" s="1">
        <f t="shared" si="0"/>
        <v>10</v>
      </c>
      <c r="B16" s="2" t="s">
        <v>116</v>
      </c>
      <c r="C16" s="2" t="s">
        <v>115</v>
      </c>
      <c r="D16" s="2" t="s">
        <v>115</v>
      </c>
      <c r="E16" s="2" t="s">
        <v>99</v>
      </c>
    </row>
    <row r="17" spans="1:5">
      <c r="A17" s="1">
        <f t="shared" si="0"/>
        <v>11</v>
      </c>
      <c r="B17" s="2" t="s">
        <v>118</v>
      </c>
      <c r="C17" s="2" t="s">
        <v>117</v>
      </c>
      <c r="D17" s="2" t="s">
        <v>117</v>
      </c>
      <c r="E17" s="2" t="s">
        <v>4</v>
      </c>
    </row>
    <row r="18" spans="1:5">
      <c r="A18" s="1">
        <f t="shared" si="0"/>
        <v>12</v>
      </c>
      <c r="B18" s="2" t="s">
        <v>910</v>
      </c>
      <c r="C18" s="2" t="s">
        <v>43</v>
      </c>
      <c r="D18" s="2" t="s">
        <v>43</v>
      </c>
      <c r="E18" s="2" t="s">
        <v>4</v>
      </c>
    </row>
    <row r="19" spans="1:5">
      <c r="A19" s="1">
        <f t="shared" si="0"/>
        <v>13</v>
      </c>
      <c r="B19" s="2" t="s">
        <v>120</v>
      </c>
      <c r="C19" s="2" t="s">
        <v>911</v>
      </c>
      <c r="D19" s="2" t="s">
        <v>119</v>
      </c>
      <c r="E19" s="2" t="s">
        <v>57</v>
      </c>
    </row>
    <row r="20" spans="1:5">
      <c r="A20" s="1">
        <f t="shared" si="0"/>
        <v>14</v>
      </c>
      <c r="B20" s="2" t="s">
        <v>122</v>
      </c>
      <c r="C20" s="2" t="s">
        <v>64</v>
      </c>
      <c r="D20" s="2" t="s">
        <v>64</v>
      </c>
      <c r="E20" s="2" t="s">
        <v>6</v>
      </c>
    </row>
    <row r="21" spans="1:11">
      <c r="A21" s="1">
        <f t="shared" si="0"/>
        <v>15</v>
      </c>
      <c r="B21" s="2" t="s">
        <v>912</v>
      </c>
      <c r="C21" s="2" t="s">
        <v>824</v>
      </c>
      <c r="D21" s="37" t="s">
        <v>36</v>
      </c>
      <c r="E21" s="2" t="s">
        <v>37</v>
      </c>
      <c r="K21" s="3" t="s">
        <v>913</v>
      </c>
    </row>
    <row r="22" spans="1:5">
      <c r="A22" s="1">
        <f t="shared" si="0"/>
        <v>16</v>
      </c>
      <c r="B22" s="2" t="s">
        <v>40</v>
      </c>
      <c r="C22" s="2" t="s">
        <v>70</v>
      </c>
      <c r="D22" s="2" t="s">
        <v>3</v>
      </c>
      <c r="E22" s="2" t="s">
        <v>4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8"/>
  <dimension ref="A1:L11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H28" sqref="H28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763</v>
      </c>
      <c r="D3" s="8" t="s">
        <v>474</v>
      </c>
      <c r="E3" s="10" t="s">
        <v>762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1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K7" s="3" t="s">
        <v>819</v>
      </c>
    </row>
    <row r="8" spans="1:5">
      <c r="A8" s="1">
        <v>2</v>
      </c>
      <c r="B8" s="2" t="s">
        <v>914</v>
      </c>
      <c r="C8" s="2" t="s">
        <v>915</v>
      </c>
      <c r="D8" s="2" t="s">
        <v>3</v>
      </c>
      <c r="E8" s="2" t="s">
        <v>4</v>
      </c>
    </row>
    <row r="9" spans="1:5">
      <c r="A9" s="1">
        <f t="shared" si="0"/>
        <v>3</v>
      </c>
      <c r="B9" s="2" t="s">
        <v>114</v>
      </c>
      <c r="C9" s="2" t="s">
        <v>113</v>
      </c>
      <c r="D9" s="2" t="s">
        <v>113</v>
      </c>
      <c r="E9" s="2" t="s">
        <v>57</v>
      </c>
    </row>
    <row r="10" spans="1:5">
      <c r="A10" s="1">
        <f t="shared" si="0"/>
        <v>4</v>
      </c>
      <c r="B10" s="2" t="s">
        <v>116</v>
      </c>
      <c r="C10" s="2" t="s">
        <v>115</v>
      </c>
      <c r="D10" s="2" t="s">
        <v>115</v>
      </c>
      <c r="E10" s="2" t="s">
        <v>99</v>
      </c>
    </row>
    <row r="11" spans="1:5">
      <c r="A11" s="1">
        <f t="shared" si="0"/>
        <v>5</v>
      </c>
      <c r="B11" s="2" t="s">
        <v>916</v>
      </c>
      <c r="C11" s="2" t="s">
        <v>117</v>
      </c>
      <c r="D11" s="2" t="s">
        <v>117</v>
      </c>
      <c r="E11" s="2" t="s">
        <v>81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6"/>
  <dimension ref="A1:L20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L1" sqref="L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765</v>
      </c>
      <c r="D3" s="8" t="s">
        <v>474</v>
      </c>
      <c r="E3" s="10" t="s">
        <v>764</v>
      </c>
      <c r="F3" s="11"/>
      <c r="G3" s="11"/>
      <c r="H3" s="11"/>
      <c r="I3" s="11"/>
      <c r="J3" s="11"/>
      <c r="K3" s="16"/>
      <c r="L3" s="14" t="s">
        <v>475</v>
      </c>
    </row>
    <row r="4" spans="1:11">
      <c r="A4" s="8" t="s">
        <v>476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20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I7" s="1" t="s">
        <v>489</v>
      </c>
      <c r="K7" s="3" t="s">
        <v>819</v>
      </c>
    </row>
    <row r="8" spans="1:5">
      <c r="A8" s="1">
        <v>2</v>
      </c>
      <c r="B8" s="2" t="s">
        <v>51</v>
      </c>
      <c r="C8" s="2" t="s">
        <v>50</v>
      </c>
      <c r="D8" s="2" t="s">
        <v>50</v>
      </c>
      <c r="E8" s="2" t="s">
        <v>81</v>
      </c>
    </row>
    <row r="9" spans="1:5">
      <c r="A9" s="1">
        <f t="shared" si="0"/>
        <v>3</v>
      </c>
      <c r="B9" s="2" t="s">
        <v>13</v>
      </c>
      <c r="C9" s="2" t="s">
        <v>12</v>
      </c>
      <c r="D9" s="2" t="s">
        <v>12</v>
      </c>
      <c r="E9" s="2" t="s">
        <v>4</v>
      </c>
    </row>
    <row r="10" spans="1:5">
      <c r="A10" s="1">
        <f t="shared" si="0"/>
        <v>4</v>
      </c>
      <c r="B10" s="2" t="s">
        <v>809</v>
      </c>
      <c r="C10" s="2" t="s">
        <v>810</v>
      </c>
      <c r="D10" s="2" t="s">
        <v>14</v>
      </c>
      <c r="E10" s="2" t="s">
        <v>14</v>
      </c>
    </row>
    <row r="11" spans="1:5">
      <c r="A11" s="1">
        <f t="shared" si="0"/>
        <v>5</v>
      </c>
      <c r="B11" s="2" t="s">
        <v>67</v>
      </c>
      <c r="C11" s="2" t="s">
        <v>66</v>
      </c>
      <c r="D11" s="2" t="s">
        <v>66</v>
      </c>
      <c r="E11" s="2" t="s">
        <v>4</v>
      </c>
    </row>
    <row r="12" spans="1:5">
      <c r="A12" s="1">
        <f t="shared" si="0"/>
        <v>6</v>
      </c>
      <c r="B12" s="2" t="s">
        <v>811</v>
      </c>
      <c r="C12" s="2" t="s">
        <v>812</v>
      </c>
      <c r="D12" s="2" t="s">
        <v>14</v>
      </c>
      <c r="E12" s="2" t="s">
        <v>14</v>
      </c>
    </row>
    <row r="13" spans="1:5">
      <c r="A13" s="1">
        <f t="shared" si="0"/>
        <v>7</v>
      </c>
      <c r="B13" s="2" t="s">
        <v>93</v>
      </c>
      <c r="C13" s="2" t="s">
        <v>92</v>
      </c>
      <c r="D13" s="2" t="s">
        <v>92</v>
      </c>
      <c r="E13" s="2" t="s">
        <v>57</v>
      </c>
    </row>
    <row r="14" spans="1:5">
      <c r="A14" s="1">
        <f t="shared" si="0"/>
        <v>8</v>
      </c>
      <c r="B14" s="2" t="s">
        <v>917</v>
      </c>
      <c r="C14" s="2" t="s">
        <v>918</v>
      </c>
      <c r="D14" s="37" t="s">
        <v>36</v>
      </c>
      <c r="E14" s="2" t="s">
        <v>37</v>
      </c>
    </row>
    <row r="15" spans="1:11">
      <c r="A15" s="1">
        <f t="shared" si="0"/>
        <v>9</v>
      </c>
      <c r="B15" s="2" t="s">
        <v>341</v>
      </c>
      <c r="C15" s="2" t="s">
        <v>342</v>
      </c>
      <c r="D15" s="37" t="s">
        <v>36</v>
      </c>
      <c r="E15" s="2" t="s">
        <v>37</v>
      </c>
      <c r="K15" s="3" t="s">
        <v>919</v>
      </c>
    </row>
    <row r="16" ht="22.5" spans="1:11">
      <c r="A16" s="1">
        <f t="shared" si="0"/>
        <v>10</v>
      </c>
      <c r="B16" s="2" t="s">
        <v>920</v>
      </c>
      <c r="C16" s="2" t="s">
        <v>921</v>
      </c>
      <c r="D16" s="37" t="s">
        <v>94</v>
      </c>
      <c r="E16" s="2" t="s">
        <v>95</v>
      </c>
      <c r="K16" s="3" t="s">
        <v>922</v>
      </c>
    </row>
    <row r="17" spans="1:5">
      <c r="A17" s="1">
        <f t="shared" si="0"/>
        <v>11</v>
      </c>
      <c r="B17" s="2" t="s">
        <v>923</v>
      </c>
      <c r="C17" s="2" t="s">
        <v>103</v>
      </c>
      <c r="D17" s="2" t="s">
        <v>219</v>
      </c>
      <c r="E17" s="2" t="s">
        <v>220</v>
      </c>
    </row>
    <row r="18" spans="1:5">
      <c r="A18" s="1">
        <f t="shared" si="0"/>
        <v>12</v>
      </c>
      <c r="B18" s="2" t="s">
        <v>106</v>
      </c>
      <c r="C18" s="2" t="s">
        <v>924</v>
      </c>
      <c r="D18" s="2" t="s">
        <v>105</v>
      </c>
      <c r="E18" s="2" t="s">
        <v>4</v>
      </c>
    </row>
    <row r="19" spans="1:5">
      <c r="A19" s="1">
        <f t="shared" si="0"/>
        <v>13</v>
      </c>
      <c r="B19" s="2" t="s">
        <v>108</v>
      </c>
      <c r="C19" s="2" t="s">
        <v>925</v>
      </c>
      <c r="D19" s="2" t="s">
        <v>107</v>
      </c>
      <c r="E19" s="2" t="s">
        <v>4</v>
      </c>
    </row>
    <row r="20" spans="1:5">
      <c r="A20" s="1">
        <f t="shared" si="0"/>
        <v>14</v>
      </c>
      <c r="B20" s="2" t="s">
        <v>110</v>
      </c>
      <c r="C20" s="2" t="s">
        <v>926</v>
      </c>
      <c r="D20" s="2" t="s">
        <v>109</v>
      </c>
      <c r="E20" s="2" t="s">
        <v>69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6"/>
  <dimension ref="A1:L9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K19" sqref="K19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767</v>
      </c>
      <c r="D3" s="8" t="s">
        <v>474</v>
      </c>
      <c r="E3" s="10" t="s">
        <v>766</v>
      </c>
      <c r="F3" s="11"/>
      <c r="G3" s="11"/>
      <c r="H3" s="11"/>
      <c r="I3" s="11"/>
      <c r="J3" s="11"/>
      <c r="K3" s="16"/>
      <c r="L3" s="14" t="s">
        <v>475</v>
      </c>
    </row>
    <row r="4" spans="1:11">
      <c r="A4" s="8" t="s">
        <v>476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I7" s="1" t="s">
        <v>489</v>
      </c>
      <c r="K7" s="3" t="s">
        <v>819</v>
      </c>
    </row>
    <row r="8" spans="1:5">
      <c r="A8" s="1">
        <v>2</v>
      </c>
      <c r="B8" s="2" t="s">
        <v>927</v>
      </c>
      <c r="C8" s="2" t="s">
        <v>928</v>
      </c>
      <c r="D8" s="2" t="s">
        <v>3</v>
      </c>
      <c r="E8" s="2" t="s">
        <v>4</v>
      </c>
    </row>
    <row r="9" spans="1:5">
      <c r="A9" s="1">
        <f>ROW()-6</f>
        <v>3</v>
      </c>
      <c r="B9" s="2" t="s">
        <v>929</v>
      </c>
      <c r="C9" s="2" t="s">
        <v>70</v>
      </c>
      <c r="D9" s="2" t="s">
        <v>3</v>
      </c>
      <c r="E9" s="2" t="s">
        <v>4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9"/>
  <dimension ref="A1:L14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A7" sqref="A7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769</v>
      </c>
      <c r="D3" s="8" t="s">
        <v>474</v>
      </c>
      <c r="E3" s="10" t="s">
        <v>768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4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K7" s="3" t="s">
        <v>819</v>
      </c>
    </row>
    <row r="8" spans="1:5">
      <c r="A8" s="1">
        <f t="shared" si="0"/>
        <v>2</v>
      </c>
      <c r="B8" s="2" t="s">
        <v>13</v>
      </c>
      <c r="C8" s="2" t="s">
        <v>12</v>
      </c>
      <c r="D8" s="2" t="s">
        <v>12</v>
      </c>
      <c r="E8" s="2" t="s">
        <v>4</v>
      </c>
    </row>
    <row r="9" spans="1:5">
      <c r="A9" s="1">
        <f t="shared" si="0"/>
        <v>3</v>
      </c>
      <c r="B9" s="2" t="s">
        <v>809</v>
      </c>
      <c r="C9" s="2" t="s">
        <v>810</v>
      </c>
      <c r="D9" s="2" t="s">
        <v>14</v>
      </c>
      <c r="E9" s="2" t="s">
        <v>14</v>
      </c>
    </row>
    <row r="10" spans="1:5">
      <c r="A10" s="1">
        <f t="shared" si="0"/>
        <v>4</v>
      </c>
      <c r="B10" s="2" t="s">
        <v>67</v>
      </c>
      <c r="C10" s="2" t="s">
        <v>66</v>
      </c>
      <c r="D10" s="2" t="s">
        <v>66</v>
      </c>
      <c r="E10" s="2" t="s">
        <v>4</v>
      </c>
    </row>
    <row r="11" spans="1:5">
      <c r="A11" s="1">
        <f t="shared" si="0"/>
        <v>5</v>
      </c>
      <c r="B11" s="2" t="s">
        <v>811</v>
      </c>
      <c r="C11" s="2" t="s">
        <v>812</v>
      </c>
      <c r="D11" s="2" t="s">
        <v>14</v>
      </c>
      <c r="E11" s="2" t="s">
        <v>14</v>
      </c>
    </row>
    <row r="12" spans="1:5">
      <c r="A12" s="1">
        <f t="shared" si="0"/>
        <v>6</v>
      </c>
      <c r="B12" s="2" t="s">
        <v>124</v>
      </c>
      <c r="C12" s="2" t="s">
        <v>123</v>
      </c>
      <c r="D12" s="2" t="s">
        <v>123</v>
      </c>
      <c r="E12" s="2" t="s">
        <v>57</v>
      </c>
    </row>
    <row r="13" spans="1:5">
      <c r="A13" s="1">
        <f t="shared" si="0"/>
        <v>7</v>
      </c>
      <c r="B13" s="2" t="s">
        <v>116</v>
      </c>
      <c r="C13" s="2" t="s">
        <v>115</v>
      </c>
      <c r="D13" s="2" t="s">
        <v>115</v>
      </c>
      <c r="E13" s="2" t="s">
        <v>99</v>
      </c>
    </row>
    <row r="14" spans="1:5">
      <c r="A14" s="1">
        <f t="shared" si="0"/>
        <v>8</v>
      </c>
      <c r="B14" s="2" t="s">
        <v>114</v>
      </c>
      <c r="C14" s="2" t="s">
        <v>113</v>
      </c>
      <c r="D14" s="2" t="s">
        <v>113</v>
      </c>
      <c r="E14" s="2" t="s">
        <v>57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1"/>
  <dimension ref="A1:L15"/>
  <sheetViews>
    <sheetView view="pageBreakPreview" zoomScaleNormal="100" zoomScaleSheetLayoutView="100" workbookViewId="0">
      <pane ySplit="6" topLeftCell="A7" activePane="bottomLeft" state="frozen"/>
      <selection/>
      <selection pane="bottomLeft" activeCell="A1" sqref="A1:B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471</v>
      </c>
      <c r="D1" s="5"/>
      <c r="E1" s="5"/>
      <c r="F1" s="5"/>
      <c r="G1" s="5"/>
      <c r="H1" s="5"/>
      <c r="I1" s="5"/>
      <c r="J1" s="5"/>
      <c r="K1" s="5"/>
      <c r="L1" s="18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/>
      <c r="D3" s="8" t="s">
        <v>474</v>
      </c>
      <c r="E3" s="10"/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5" si="0">ROW()-6</f>
        <v>1</v>
      </c>
      <c r="B7" s="2" t="s">
        <v>487</v>
      </c>
      <c r="C7" s="2" t="s">
        <v>487</v>
      </c>
      <c r="D7" s="2" t="s">
        <v>487</v>
      </c>
      <c r="E7" s="2" t="str">
        <f>VLOOKUP($D7,字段属性!$A$2:$B$798,2,FALSE)</f>
        <v>int(11)</v>
      </c>
      <c r="F7" s="1" t="s">
        <v>488</v>
      </c>
      <c r="I7" s="1" t="s">
        <v>489</v>
      </c>
      <c r="K7" s="3" t="s">
        <v>490</v>
      </c>
    </row>
    <row r="8" spans="1:11">
      <c r="A8" s="1">
        <f t="shared" si="0"/>
        <v>2</v>
      </c>
      <c r="B8" s="2" t="s">
        <v>491</v>
      </c>
      <c r="C8" s="2" t="s">
        <v>491</v>
      </c>
      <c r="D8" s="2" t="s">
        <v>492</v>
      </c>
      <c r="E8" s="2" t="e">
        <f>VLOOKUP($D8,字段属性!$A$2:$B$798,2,FALSE)</f>
        <v>#N/A</v>
      </c>
      <c r="K8" s="3" t="s">
        <v>493</v>
      </c>
    </row>
    <row r="9" spans="1:11">
      <c r="A9" s="1">
        <f t="shared" si="0"/>
        <v>3</v>
      </c>
      <c r="B9" s="2" t="s">
        <v>494</v>
      </c>
      <c r="C9" s="2" t="s">
        <v>494</v>
      </c>
      <c r="D9" s="2" t="s">
        <v>495</v>
      </c>
      <c r="E9" s="2" t="e">
        <f>VLOOKUP($D9,字段属性!$A$2:$B$798,2,FALSE)</f>
        <v>#N/A</v>
      </c>
      <c r="F9" s="1" t="s">
        <v>488</v>
      </c>
      <c r="K9" s="3" t="s">
        <v>496</v>
      </c>
    </row>
    <row r="10" spans="1:11">
      <c r="A10" s="1">
        <f t="shared" si="0"/>
        <v>4</v>
      </c>
      <c r="B10" s="2" t="s">
        <v>497</v>
      </c>
      <c r="C10" s="2" t="s">
        <v>497</v>
      </c>
      <c r="D10" s="2" t="s">
        <v>498</v>
      </c>
      <c r="E10" s="2" t="e">
        <f>VLOOKUP($D10,字段属性!$A$2:$B$798,2,FALSE)</f>
        <v>#N/A</v>
      </c>
      <c r="F10" s="1" t="s">
        <v>488</v>
      </c>
      <c r="K10" s="3" t="s">
        <v>499</v>
      </c>
    </row>
    <row r="11" spans="1:11">
      <c r="A11" s="1">
        <f t="shared" si="0"/>
        <v>5</v>
      </c>
      <c r="B11" s="2" t="s">
        <v>500</v>
      </c>
      <c r="C11" s="2" t="s">
        <v>500</v>
      </c>
      <c r="D11" s="2" t="s">
        <v>501</v>
      </c>
      <c r="E11" s="2" t="e">
        <f>VLOOKUP($D11,字段属性!$A$2:$B$798,2,FALSE)</f>
        <v>#N/A</v>
      </c>
      <c r="F11" s="1" t="s">
        <v>488</v>
      </c>
      <c r="K11" s="3" t="s">
        <v>502</v>
      </c>
    </row>
    <row r="12" spans="1:11">
      <c r="A12" s="1">
        <f t="shared" si="0"/>
        <v>6</v>
      </c>
      <c r="B12" s="2" t="s">
        <v>503</v>
      </c>
      <c r="C12" s="2" t="s">
        <v>503</v>
      </c>
      <c r="D12" s="2" t="s">
        <v>504</v>
      </c>
      <c r="E12" s="2" t="e">
        <f>VLOOKUP($D12,字段属性!$A$2:$B$798,2,FALSE)</f>
        <v>#N/A</v>
      </c>
      <c r="K12" s="3" t="s">
        <v>505</v>
      </c>
    </row>
    <row r="13" spans="1:11">
      <c r="A13" s="1">
        <f t="shared" si="0"/>
        <v>7</v>
      </c>
      <c r="B13" s="2" t="s">
        <v>506</v>
      </c>
      <c r="C13" s="2" t="s">
        <v>506</v>
      </c>
      <c r="D13" s="2" t="s">
        <v>507</v>
      </c>
      <c r="E13" s="2" t="e">
        <f>VLOOKUP($D13,字段属性!$A$2:$B$798,2,FALSE)</f>
        <v>#N/A</v>
      </c>
      <c r="K13" s="3" t="s">
        <v>508</v>
      </c>
    </row>
    <row r="14" spans="1:11">
      <c r="A14" s="1">
        <f t="shared" si="0"/>
        <v>8</v>
      </c>
      <c r="B14" s="2" t="s">
        <v>509</v>
      </c>
      <c r="C14" s="2" t="s">
        <v>509</v>
      </c>
      <c r="D14" s="2" t="s">
        <v>501</v>
      </c>
      <c r="E14" s="2" t="e">
        <f>VLOOKUP($D14,字段属性!$A$2:$B$798,2,FALSE)</f>
        <v>#N/A</v>
      </c>
      <c r="K14" s="3" t="s">
        <v>510</v>
      </c>
    </row>
    <row r="15" spans="1:11">
      <c r="A15" s="1">
        <f t="shared" si="0"/>
        <v>9</v>
      </c>
      <c r="B15" s="2" t="s">
        <v>51</v>
      </c>
      <c r="C15" s="2" t="s">
        <v>511</v>
      </c>
      <c r="D15" s="2" t="s">
        <v>511</v>
      </c>
      <c r="E15" s="2" t="str">
        <f>VLOOKUP($D15,字段属性!$A$2:$B$798,2,FALSE)</f>
        <v>varchar(32)</v>
      </c>
      <c r="F15" s="1" t="s">
        <v>488</v>
      </c>
      <c r="G15" s="1">
        <v>1</v>
      </c>
      <c r="K15" s="3" t="s">
        <v>512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0"/>
  <dimension ref="A1:L15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B11" sqref="B1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771</v>
      </c>
      <c r="D3" s="8" t="s">
        <v>474</v>
      </c>
      <c r="E3" s="10" t="s">
        <v>770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K7" s="3" t="s">
        <v>819</v>
      </c>
    </row>
    <row r="8" spans="1:5">
      <c r="A8" s="1">
        <f>ROW()-6</f>
        <v>2</v>
      </c>
      <c r="B8" s="2" t="s">
        <v>13</v>
      </c>
      <c r="C8" s="2" t="s">
        <v>12</v>
      </c>
      <c r="D8" s="2" t="s">
        <v>12</v>
      </c>
      <c r="E8" s="2" t="s">
        <v>4</v>
      </c>
    </row>
    <row r="9" spans="1:5">
      <c r="A9" s="1">
        <v>3</v>
      </c>
      <c r="B9" s="2" t="s">
        <v>809</v>
      </c>
      <c r="C9" s="2" t="s">
        <v>810</v>
      </c>
      <c r="D9" s="2" t="s">
        <v>14</v>
      </c>
      <c r="E9" s="2" t="s">
        <v>14</v>
      </c>
    </row>
    <row r="10" spans="1:5">
      <c r="A10" s="1">
        <f t="shared" ref="A10:A15" si="0">ROW()-6</f>
        <v>4</v>
      </c>
      <c r="B10" s="2" t="s">
        <v>137</v>
      </c>
      <c r="C10" s="2" t="s">
        <v>136</v>
      </c>
      <c r="D10" s="2" t="s">
        <v>136</v>
      </c>
      <c r="E10" s="2" t="s">
        <v>57</v>
      </c>
    </row>
    <row r="11" spans="1:5">
      <c r="A11" s="1">
        <f t="shared" si="0"/>
        <v>5</v>
      </c>
      <c r="B11" s="2" t="s">
        <v>930</v>
      </c>
      <c r="C11" s="2" t="s">
        <v>931</v>
      </c>
      <c r="D11" s="2" t="s">
        <v>14</v>
      </c>
      <c r="E11" s="2" t="s">
        <v>14</v>
      </c>
    </row>
    <row r="12" spans="1:5">
      <c r="A12" s="1">
        <f t="shared" si="0"/>
        <v>6</v>
      </c>
      <c r="B12" s="2" t="s">
        <v>932</v>
      </c>
      <c r="C12" s="2" t="s">
        <v>933</v>
      </c>
      <c r="D12" s="2" t="s">
        <v>14</v>
      </c>
      <c r="E12" s="2" t="s">
        <v>14</v>
      </c>
    </row>
    <row r="13" spans="1:11">
      <c r="A13" s="1">
        <f t="shared" si="0"/>
        <v>7</v>
      </c>
      <c r="B13" s="2" t="s">
        <v>279</v>
      </c>
      <c r="C13" s="2" t="s">
        <v>824</v>
      </c>
      <c r="D13" s="37" t="s">
        <v>36</v>
      </c>
      <c r="E13" s="2" t="s">
        <v>37</v>
      </c>
      <c r="K13" s="3" t="s">
        <v>934</v>
      </c>
    </row>
    <row r="14" spans="1:5">
      <c r="A14" s="1">
        <f t="shared" si="0"/>
        <v>8</v>
      </c>
      <c r="B14" s="2" t="s">
        <v>126</v>
      </c>
      <c r="C14" s="2" t="s">
        <v>125</v>
      </c>
      <c r="D14" s="2" t="s">
        <v>125</v>
      </c>
      <c r="E14" s="2" t="s">
        <v>99</v>
      </c>
    </row>
    <row r="15" spans="1:5">
      <c r="A15" s="1">
        <f t="shared" si="0"/>
        <v>9</v>
      </c>
      <c r="B15" s="2" t="s">
        <v>128</v>
      </c>
      <c r="C15" s="2" t="s">
        <v>127</v>
      </c>
      <c r="D15" s="2" t="s">
        <v>127</v>
      </c>
      <c r="E15" s="2" t="s">
        <v>99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2"/>
  <dimension ref="A1:L14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A7" sqref="A7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773</v>
      </c>
      <c r="D3" s="8" t="s">
        <v>474</v>
      </c>
      <c r="E3" s="10" t="s">
        <v>772</v>
      </c>
      <c r="F3" s="11"/>
      <c r="G3" s="11"/>
      <c r="H3" s="11"/>
      <c r="I3" s="11"/>
      <c r="J3" s="11"/>
      <c r="K3" s="16"/>
      <c r="L3" s="14" t="s">
        <v>475</v>
      </c>
    </row>
    <row r="4" spans="1:11">
      <c r="A4" s="8" t="s">
        <v>476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I7" s="1" t="s">
        <v>489</v>
      </c>
      <c r="K7" s="3" t="s">
        <v>819</v>
      </c>
    </row>
    <row r="8" spans="1:5">
      <c r="A8" s="1">
        <f>ROW()-6</f>
        <v>2</v>
      </c>
      <c r="B8" s="2" t="s">
        <v>130</v>
      </c>
      <c r="C8" s="2" t="s">
        <v>129</v>
      </c>
      <c r="D8" s="2" t="s">
        <v>129</v>
      </c>
      <c r="E8" s="2" t="s">
        <v>6</v>
      </c>
    </row>
    <row r="9" spans="1:5">
      <c r="A9" s="1">
        <v>3</v>
      </c>
      <c r="B9" s="2" t="s">
        <v>139</v>
      </c>
      <c r="C9" s="2" t="s">
        <v>138</v>
      </c>
      <c r="D9" s="2" t="s">
        <v>138</v>
      </c>
      <c r="E9" s="2" t="s">
        <v>4</v>
      </c>
    </row>
    <row r="10" spans="1:5">
      <c r="A10" s="1">
        <f t="shared" ref="A10:A15" si="0">ROW()-6</f>
        <v>4</v>
      </c>
      <c r="B10" s="2" t="s">
        <v>132</v>
      </c>
      <c r="C10" s="2" t="s">
        <v>935</v>
      </c>
      <c r="D10" s="2" t="s">
        <v>131</v>
      </c>
      <c r="E10" s="2" t="s">
        <v>99</v>
      </c>
    </row>
    <row r="11" spans="1:5">
      <c r="A11" s="1">
        <f t="shared" si="0"/>
        <v>5</v>
      </c>
      <c r="B11" s="2" t="s">
        <v>133</v>
      </c>
      <c r="C11" s="2" t="s">
        <v>125</v>
      </c>
      <c r="D11" s="2" t="s">
        <v>125</v>
      </c>
      <c r="E11" s="2" t="s">
        <v>99</v>
      </c>
    </row>
    <row r="12" spans="1:5">
      <c r="A12" s="1">
        <f t="shared" si="0"/>
        <v>6</v>
      </c>
      <c r="B12" s="2" t="s">
        <v>135</v>
      </c>
      <c r="C12" s="2" t="s">
        <v>134</v>
      </c>
      <c r="D12" s="2" t="s">
        <v>134</v>
      </c>
      <c r="E12" s="2" t="s">
        <v>99</v>
      </c>
    </row>
    <row r="13" spans="1:5">
      <c r="A13" s="1">
        <f t="shared" si="0"/>
        <v>7</v>
      </c>
      <c r="B13" s="2" t="s">
        <v>936</v>
      </c>
      <c r="C13" s="2" t="s">
        <v>937</v>
      </c>
      <c r="D13" s="2" t="s">
        <v>14</v>
      </c>
      <c r="E13" s="2" t="s">
        <v>14</v>
      </c>
    </row>
    <row r="14" spans="1:11">
      <c r="A14" s="1">
        <f t="shared" si="0"/>
        <v>8</v>
      </c>
      <c r="B14" s="2" t="s">
        <v>299</v>
      </c>
      <c r="C14" s="2" t="s">
        <v>938</v>
      </c>
      <c r="D14" s="37" t="s">
        <v>36</v>
      </c>
      <c r="E14" s="2" t="s">
        <v>37</v>
      </c>
      <c r="K14" s="20" t="s">
        <v>939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3"/>
  <dimension ref="A1:L22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B21" sqref="B21:E2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775</v>
      </c>
      <c r="D3" s="8" t="s">
        <v>474</v>
      </c>
      <c r="E3" s="10" t="s">
        <v>774</v>
      </c>
      <c r="F3" s="11"/>
      <c r="G3" s="11"/>
      <c r="H3" s="11"/>
      <c r="I3" s="11"/>
      <c r="J3" s="11"/>
      <c r="K3" s="16"/>
      <c r="L3" s="14" t="s">
        <v>475</v>
      </c>
    </row>
    <row r="4" spans="1:11">
      <c r="A4" s="8" t="s">
        <v>476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9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I7" s="1" t="s">
        <v>489</v>
      </c>
      <c r="K7" s="3" t="s">
        <v>819</v>
      </c>
    </row>
    <row r="8" spans="1:5">
      <c r="A8" s="1">
        <f t="shared" si="0"/>
        <v>2</v>
      </c>
      <c r="B8" s="2" t="s">
        <v>142</v>
      </c>
      <c r="C8" s="2" t="s">
        <v>140</v>
      </c>
      <c r="D8" s="2" t="s">
        <v>140</v>
      </c>
      <c r="E8" s="2" t="s">
        <v>141</v>
      </c>
    </row>
    <row r="9" spans="1:5">
      <c r="A9" s="1">
        <f t="shared" si="0"/>
        <v>3</v>
      </c>
      <c r="B9" s="2" t="s">
        <v>940</v>
      </c>
      <c r="C9" s="2" t="s">
        <v>129</v>
      </c>
      <c r="D9" s="2" t="s">
        <v>129</v>
      </c>
      <c r="E9" s="2" t="s">
        <v>941</v>
      </c>
    </row>
    <row r="10" spans="1:5">
      <c r="A10" s="1">
        <f t="shared" si="0"/>
        <v>4</v>
      </c>
      <c r="B10" s="2" t="s">
        <v>942</v>
      </c>
      <c r="C10" s="2" t="s">
        <v>943</v>
      </c>
      <c r="D10" s="2" t="s">
        <v>115</v>
      </c>
      <c r="E10" s="2" t="s">
        <v>99</v>
      </c>
    </row>
    <row r="11" spans="1:5">
      <c r="A11" s="1">
        <f t="shared" si="0"/>
        <v>5</v>
      </c>
      <c r="B11" s="2" t="s">
        <v>944</v>
      </c>
      <c r="C11" s="2" t="s">
        <v>145</v>
      </c>
      <c r="D11" s="2" t="s">
        <v>145</v>
      </c>
      <c r="E11" s="2" t="s">
        <v>99</v>
      </c>
    </row>
    <row r="12" spans="1:5">
      <c r="A12" s="1">
        <f t="shared" si="0"/>
        <v>6</v>
      </c>
      <c r="B12" s="2" t="s">
        <v>148</v>
      </c>
      <c r="C12" s="2" t="s">
        <v>147</v>
      </c>
      <c r="D12" s="2" t="s">
        <v>147</v>
      </c>
      <c r="E12" s="2" t="s">
        <v>10</v>
      </c>
    </row>
    <row r="13" spans="1:5">
      <c r="A13" s="1">
        <f t="shared" si="0"/>
        <v>7</v>
      </c>
      <c r="B13" s="2" t="s">
        <v>150</v>
      </c>
      <c r="C13" s="2" t="s">
        <v>149</v>
      </c>
      <c r="D13" s="2" t="s">
        <v>149</v>
      </c>
      <c r="E13" s="2" t="s">
        <v>10</v>
      </c>
    </row>
    <row r="14" spans="1:5">
      <c r="A14" s="1">
        <f t="shared" si="0"/>
        <v>8</v>
      </c>
      <c r="B14" s="2" t="s">
        <v>152</v>
      </c>
      <c r="C14" s="2" t="s">
        <v>151</v>
      </c>
      <c r="D14" s="2" t="s">
        <v>151</v>
      </c>
      <c r="E14" s="2" t="s">
        <v>6</v>
      </c>
    </row>
    <row r="15" spans="1:5">
      <c r="A15" s="1">
        <f t="shared" si="0"/>
        <v>9</v>
      </c>
      <c r="B15" s="2" t="s">
        <v>155</v>
      </c>
      <c r="C15" s="2" t="s">
        <v>153</v>
      </c>
      <c r="D15" s="2" t="s">
        <v>153</v>
      </c>
      <c r="E15" s="2" t="s">
        <v>154</v>
      </c>
    </row>
    <row r="16" spans="1:5">
      <c r="A16" s="1">
        <f t="shared" si="0"/>
        <v>10</v>
      </c>
      <c r="B16" s="2" t="s">
        <v>158</v>
      </c>
      <c r="C16" s="2" t="s">
        <v>156</v>
      </c>
      <c r="D16" s="2" t="s">
        <v>156</v>
      </c>
      <c r="E16" s="2" t="s">
        <v>157</v>
      </c>
    </row>
    <row r="17" spans="1:5">
      <c r="A17" s="1">
        <f t="shared" si="0"/>
        <v>11</v>
      </c>
      <c r="B17" s="2" t="s">
        <v>160</v>
      </c>
      <c r="C17" s="2" t="s">
        <v>159</v>
      </c>
      <c r="D17" s="2" t="s">
        <v>159</v>
      </c>
      <c r="E17" s="2" t="s">
        <v>10</v>
      </c>
    </row>
    <row r="18" spans="1:5">
      <c r="A18" s="1">
        <f t="shared" si="0"/>
        <v>12</v>
      </c>
      <c r="B18" s="2" t="s">
        <v>162</v>
      </c>
      <c r="C18" s="2" t="s">
        <v>161</v>
      </c>
      <c r="D18" s="2" t="s">
        <v>161</v>
      </c>
      <c r="E18" s="2" t="s">
        <v>6</v>
      </c>
    </row>
    <row r="19" spans="1:11">
      <c r="A19" s="1">
        <f t="shared" si="0"/>
        <v>13</v>
      </c>
      <c r="B19" s="2" t="s">
        <v>452</v>
      </c>
      <c r="C19" s="2" t="s">
        <v>824</v>
      </c>
      <c r="D19" s="37" t="s">
        <v>36</v>
      </c>
      <c r="E19" s="2" t="s">
        <v>37</v>
      </c>
      <c r="K19" s="3" t="s">
        <v>945</v>
      </c>
    </row>
    <row r="20" spans="1:5">
      <c r="A20" s="1">
        <v>14</v>
      </c>
      <c r="B20" s="2" t="s">
        <v>946</v>
      </c>
      <c r="C20" s="2" t="s">
        <v>947</v>
      </c>
      <c r="D20" s="2" t="s">
        <v>14</v>
      </c>
      <c r="E20" s="2" t="s">
        <v>14</v>
      </c>
    </row>
    <row r="21" spans="1:5">
      <c r="A21" s="1">
        <v>15</v>
      </c>
      <c r="B21" s="2" t="s">
        <v>948</v>
      </c>
      <c r="C21" s="2" t="s">
        <v>949</v>
      </c>
      <c r="D21" s="2" t="s">
        <v>14</v>
      </c>
      <c r="E21" s="2" t="s">
        <v>14</v>
      </c>
    </row>
    <row r="22" spans="1:5">
      <c r="A22" s="1">
        <v>16</v>
      </c>
      <c r="B22" s="2" t="s">
        <v>950</v>
      </c>
      <c r="C22" s="2" t="s">
        <v>951</v>
      </c>
      <c r="D22" s="37" t="s">
        <v>36</v>
      </c>
      <c r="E22" s="2" t="s">
        <v>37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4"/>
  <dimension ref="A1:L19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L1" sqref="L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777</v>
      </c>
      <c r="D3" s="8" t="s">
        <v>474</v>
      </c>
      <c r="E3" s="10" t="s">
        <v>776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9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I7" s="1" t="s">
        <v>489</v>
      </c>
      <c r="K7" s="3" t="s">
        <v>819</v>
      </c>
    </row>
    <row r="8" spans="1:5">
      <c r="A8" s="1">
        <f t="shared" si="0"/>
        <v>2</v>
      </c>
      <c r="B8" s="2" t="s">
        <v>142</v>
      </c>
      <c r="C8" s="2" t="s">
        <v>140</v>
      </c>
      <c r="D8" s="2" t="s">
        <v>140</v>
      </c>
      <c r="E8" s="2" t="s">
        <v>141</v>
      </c>
    </row>
    <row r="9" spans="1:5">
      <c r="A9" s="1">
        <f t="shared" si="0"/>
        <v>3</v>
      </c>
      <c r="B9" s="2" t="s">
        <v>940</v>
      </c>
      <c r="C9" s="2" t="s">
        <v>129</v>
      </c>
      <c r="D9" s="2" t="s">
        <v>129</v>
      </c>
      <c r="E9" s="2" t="s">
        <v>6</v>
      </c>
    </row>
    <row r="10" spans="1:5">
      <c r="A10" s="1">
        <f t="shared" si="0"/>
        <v>4</v>
      </c>
      <c r="B10" s="2" t="s">
        <v>942</v>
      </c>
      <c r="C10" s="2" t="s">
        <v>115</v>
      </c>
      <c r="D10" s="2" t="s">
        <v>115</v>
      </c>
      <c r="E10" s="2" t="s">
        <v>99</v>
      </c>
    </row>
    <row r="11" spans="1:5">
      <c r="A11" s="1">
        <f t="shared" si="0"/>
        <v>5</v>
      </c>
      <c r="B11" s="2" t="s">
        <v>944</v>
      </c>
      <c r="C11" s="2" t="s">
        <v>145</v>
      </c>
      <c r="D11" s="2" t="s">
        <v>145</v>
      </c>
      <c r="E11" s="2" t="s">
        <v>99</v>
      </c>
    </row>
    <row r="12" spans="1:5">
      <c r="A12" s="1">
        <f t="shared" si="0"/>
        <v>6</v>
      </c>
      <c r="B12" s="2" t="s">
        <v>148</v>
      </c>
      <c r="C12" s="2" t="s">
        <v>147</v>
      </c>
      <c r="D12" s="2" t="s">
        <v>147</v>
      </c>
      <c r="E12" s="2" t="s">
        <v>10</v>
      </c>
    </row>
    <row r="13" spans="1:5">
      <c r="A13" s="1">
        <f t="shared" si="0"/>
        <v>7</v>
      </c>
      <c r="B13" s="2" t="s">
        <v>150</v>
      </c>
      <c r="C13" s="2" t="s">
        <v>149</v>
      </c>
      <c r="D13" s="2" t="s">
        <v>149</v>
      </c>
      <c r="E13" s="2" t="s">
        <v>10</v>
      </c>
    </row>
    <row r="14" spans="1:5">
      <c r="A14" s="1">
        <f t="shared" si="0"/>
        <v>8</v>
      </c>
      <c r="B14" s="2" t="s">
        <v>152</v>
      </c>
      <c r="C14" s="2" t="s">
        <v>151</v>
      </c>
      <c r="D14" s="2" t="s">
        <v>151</v>
      </c>
      <c r="E14" s="2" t="s">
        <v>6</v>
      </c>
    </row>
    <row r="15" spans="1:5">
      <c r="A15" s="1">
        <f t="shared" si="0"/>
        <v>9</v>
      </c>
      <c r="B15" s="2" t="s">
        <v>155</v>
      </c>
      <c r="C15" s="2" t="s">
        <v>153</v>
      </c>
      <c r="D15" s="2" t="s">
        <v>153</v>
      </c>
      <c r="E15" s="2" t="s">
        <v>154</v>
      </c>
    </row>
    <row r="16" spans="1:5">
      <c r="A16" s="1">
        <f t="shared" si="0"/>
        <v>10</v>
      </c>
      <c r="B16" s="2" t="s">
        <v>158</v>
      </c>
      <c r="C16" s="2" t="s">
        <v>156</v>
      </c>
      <c r="D16" s="2" t="s">
        <v>156</v>
      </c>
      <c r="E16" s="2" t="s">
        <v>157</v>
      </c>
    </row>
    <row r="17" spans="1:5">
      <c r="A17" s="1">
        <f t="shared" si="0"/>
        <v>11</v>
      </c>
      <c r="B17" s="2" t="s">
        <v>160</v>
      </c>
      <c r="C17" s="2" t="s">
        <v>159</v>
      </c>
      <c r="D17" s="2" t="s">
        <v>159</v>
      </c>
      <c r="E17" s="2" t="s">
        <v>10</v>
      </c>
    </row>
    <row r="18" spans="1:5">
      <c r="A18" s="1">
        <f t="shared" si="0"/>
        <v>12</v>
      </c>
      <c r="B18" s="2" t="s">
        <v>162</v>
      </c>
      <c r="C18" s="2" t="s">
        <v>161</v>
      </c>
      <c r="D18" s="2" t="s">
        <v>161</v>
      </c>
      <c r="E18" s="2" t="s">
        <v>6</v>
      </c>
    </row>
    <row r="19" spans="1:11">
      <c r="A19" s="1">
        <f t="shared" si="0"/>
        <v>13</v>
      </c>
      <c r="B19" s="2" t="s">
        <v>452</v>
      </c>
      <c r="C19" s="2" t="s">
        <v>824</v>
      </c>
      <c r="D19" s="37" t="s">
        <v>36</v>
      </c>
      <c r="E19" s="2" t="s">
        <v>37</v>
      </c>
      <c r="K19" s="3" t="s">
        <v>945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5"/>
  <dimension ref="A1:L19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L3" sqref="L3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779</v>
      </c>
      <c r="D3" s="8" t="s">
        <v>474</v>
      </c>
      <c r="E3" s="10" t="s">
        <v>778</v>
      </c>
      <c r="F3" s="11"/>
      <c r="G3" s="11"/>
      <c r="H3" s="11"/>
      <c r="I3" s="11"/>
      <c r="J3" s="11"/>
      <c r="K3" s="16"/>
      <c r="L3" s="14" t="s">
        <v>475</v>
      </c>
    </row>
    <row r="4" spans="1:11">
      <c r="A4" s="8" t="s">
        <v>476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1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I7" s="1" t="s">
        <v>489</v>
      </c>
      <c r="K7" s="3" t="s">
        <v>819</v>
      </c>
    </row>
    <row r="8" spans="1:5">
      <c r="A8" s="1">
        <f t="shared" si="0"/>
        <v>2</v>
      </c>
      <c r="B8" s="2" t="s">
        <v>13</v>
      </c>
      <c r="C8" s="2" t="s">
        <v>12</v>
      </c>
      <c r="D8" s="2" t="s">
        <v>12</v>
      </c>
      <c r="E8" s="2" t="s">
        <v>4</v>
      </c>
    </row>
    <row r="9" spans="1:5">
      <c r="A9" s="1">
        <f t="shared" si="0"/>
        <v>3</v>
      </c>
      <c r="B9" s="2" t="s">
        <v>809</v>
      </c>
      <c r="C9" s="2" t="s">
        <v>810</v>
      </c>
      <c r="D9" s="2" t="s">
        <v>14</v>
      </c>
      <c r="E9" s="2" t="s">
        <v>14</v>
      </c>
    </row>
    <row r="10" spans="1:5">
      <c r="A10" s="1">
        <f t="shared" si="0"/>
        <v>4</v>
      </c>
      <c r="B10" s="2" t="s">
        <v>67</v>
      </c>
      <c r="C10" s="2" t="s">
        <v>66</v>
      </c>
      <c r="D10" s="2" t="s">
        <v>66</v>
      </c>
      <c r="E10" s="2" t="s">
        <v>4</v>
      </c>
    </row>
    <row r="11" spans="1:5">
      <c r="A11" s="1">
        <f t="shared" si="0"/>
        <v>5</v>
      </c>
      <c r="B11" s="2" t="s">
        <v>811</v>
      </c>
      <c r="C11" s="2" t="s">
        <v>812</v>
      </c>
      <c r="D11" s="2" t="s">
        <v>14</v>
      </c>
      <c r="E11" s="2" t="s">
        <v>14</v>
      </c>
    </row>
    <row r="12" spans="1:5">
      <c r="A12" s="1">
        <f t="shared" ref="A12:A19" si="1">ROW()-6</f>
        <v>6</v>
      </c>
      <c r="B12" s="2" t="s">
        <v>905</v>
      </c>
      <c r="C12" s="2" t="s">
        <v>111</v>
      </c>
      <c r="D12" s="2" t="s">
        <v>111</v>
      </c>
      <c r="E12" s="2" t="s">
        <v>141</v>
      </c>
    </row>
    <row r="13" spans="1:5">
      <c r="A13" s="1">
        <f t="shared" si="1"/>
        <v>7</v>
      </c>
      <c r="B13" s="2" t="s">
        <v>906</v>
      </c>
      <c r="C13" s="2" t="s">
        <v>931</v>
      </c>
      <c r="D13" s="2" t="s">
        <v>14</v>
      </c>
      <c r="E13" s="2" t="s">
        <v>14</v>
      </c>
    </row>
    <row r="14" spans="1:5">
      <c r="A14" s="1">
        <f t="shared" si="1"/>
        <v>8</v>
      </c>
      <c r="B14" s="2" t="s">
        <v>908</v>
      </c>
      <c r="C14" s="2" t="s">
        <v>933</v>
      </c>
      <c r="D14" s="2" t="s">
        <v>14</v>
      </c>
      <c r="E14" s="2" t="s">
        <v>14</v>
      </c>
    </row>
    <row r="15" spans="1:5">
      <c r="A15" s="1">
        <f t="shared" si="1"/>
        <v>9</v>
      </c>
      <c r="B15" s="2" t="s">
        <v>164</v>
      </c>
      <c r="C15" s="2" t="s">
        <v>163</v>
      </c>
      <c r="D15" s="2" t="s">
        <v>163</v>
      </c>
      <c r="E15" s="2" t="s">
        <v>57</v>
      </c>
    </row>
    <row r="16" spans="1:5">
      <c r="A16" s="1">
        <f t="shared" si="1"/>
        <v>10</v>
      </c>
      <c r="B16" s="2" t="s">
        <v>166</v>
      </c>
      <c r="C16" s="2" t="s">
        <v>165</v>
      </c>
      <c r="D16" s="2" t="s">
        <v>165</v>
      </c>
      <c r="E16" s="2" t="s">
        <v>6</v>
      </c>
    </row>
    <row r="17" spans="1:5">
      <c r="A17" s="1">
        <f t="shared" si="1"/>
        <v>11</v>
      </c>
      <c r="B17" s="2" t="s">
        <v>40</v>
      </c>
      <c r="C17" s="2" t="s">
        <v>169</v>
      </c>
      <c r="D17" s="2" t="s">
        <v>169</v>
      </c>
      <c r="E17" s="2" t="s">
        <v>10</v>
      </c>
    </row>
    <row r="18" spans="1:5">
      <c r="A18" s="1">
        <f t="shared" si="1"/>
        <v>12</v>
      </c>
      <c r="B18" s="2" t="s">
        <v>952</v>
      </c>
      <c r="C18" s="2" t="s">
        <v>52</v>
      </c>
      <c r="D18" s="2" t="s">
        <v>52</v>
      </c>
      <c r="E18" s="2" t="s">
        <v>4</v>
      </c>
    </row>
    <row r="19" spans="1:5">
      <c r="A19" s="1">
        <f t="shared" si="1"/>
        <v>13</v>
      </c>
      <c r="B19" s="2" t="s">
        <v>168</v>
      </c>
      <c r="C19" s="2" t="s">
        <v>953</v>
      </c>
      <c r="D19" s="2" t="s">
        <v>167</v>
      </c>
      <c r="E19" s="2" t="s">
        <v>10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1"/>
  <dimension ref="A1:L12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B14" sqref="B14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781</v>
      </c>
      <c r="D3" s="8" t="s">
        <v>474</v>
      </c>
      <c r="E3" s="10" t="s">
        <v>780</v>
      </c>
      <c r="F3" s="11"/>
      <c r="G3" s="11"/>
      <c r="H3" s="11"/>
      <c r="I3" s="11"/>
      <c r="J3" s="11"/>
      <c r="K3" s="16"/>
      <c r="L3" s="14" t="s">
        <v>475</v>
      </c>
    </row>
    <row r="4" spans="1:11">
      <c r="A4" s="8" t="s">
        <v>476</v>
      </c>
      <c r="B4" s="8"/>
      <c r="C4" s="12" t="s">
        <v>954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1" si="0">ROW()-6</f>
        <v>1</v>
      </c>
      <c r="B7" s="2" t="s">
        <v>808</v>
      </c>
      <c r="C7" s="2" t="s">
        <v>3</v>
      </c>
      <c r="D7" s="2" t="s">
        <v>5</v>
      </c>
      <c r="E7" s="2" t="s">
        <v>6</v>
      </c>
      <c r="F7" s="1" t="s">
        <v>488</v>
      </c>
      <c r="H7" s="1">
        <v>1</v>
      </c>
      <c r="K7" s="3" t="s">
        <v>955</v>
      </c>
    </row>
    <row r="8" spans="1:5">
      <c r="A8" s="1">
        <f t="shared" si="0"/>
        <v>2</v>
      </c>
      <c r="B8" s="2" t="s">
        <v>170</v>
      </c>
      <c r="C8" s="2" t="s">
        <v>64</v>
      </c>
      <c r="D8" s="2" t="s">
        <v>64</v>
      </c>
      <c r="E8" s="2" t="s">
        <v>6</v>
      </c>
    </row>
    <row r="9" spans="1:5">
      <c r="A9" s="1">
        <f t="shared" si="0"/>
        <v>3</v>
      </c>
      <c r="B9" s="2" t="s">
        <v>956</v>
      </c>
      <c r="C9" s="2" t="s">
        <v>957</v>
      </c>
      <c r="D9" s="2" t="s">
        <v>14</v>
      </c>
      <c r="E9" s="2" t="s">
        <v>14</v>
      </c>
    </row>
    <row r="10" spans="1:5">
      <c r="A10" s="1">
        <f t="shared" si="0"/>
        <v>4</v>
      </c>
      <c r="B10" s="2" t="s">
        <v>826</v>
      </c>
      <c r="C10" s="2" t="s">
        <v>827</v>
      </c>
      <c r="D10" s="2" t="s">
        <v>14</v>
      </c>
      <c r="E10" s="2" t="s">
        <v>14</v>
      </c>
    </row>
    <row r="11" spans="1:5">
      <c r="A11" s="1">
        <f t="shared" si="0"/>
        <v>5</v>
      </c>
      <c r="B11" s="2" t="s">
        <v>172</v>
      </c>
      <c r="C11" s="2" t="s">
        <v>171</v>
      </c>
      <c r="D11" s="2" t="s">
        <v>171</v>
      </c>
      <c r="E11" s="2" t="s">
        <v>6</v>
      </c>
    </row>
    <row r="12" spans="1:7">
      <c r="A12" s="1">
        <v>7</v>
      </c>
      <c r="B12" s="2" t="s">
        <v>195</v>
      </c>
      <c r="C12" s="2" t="s">
        <v>194</v>
      </c>
      <c r="D12" s="2" t="s">
        <v>194</v>
      </c>
      <c r="E12" s="2" t="s">
        <v>99</v>
      </c>
      <c r="G12" s="1">
        <v>0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7"/>
  <dimension ref="A1:L10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C12" sqref="C12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783</v>
      </c>
      <c r="D3" s="8" t="s">
        <v>474</v>
      </c>
      <c r="E3" s="10" t="s">
        <v>782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0" si="0">ROW()-6</f>
        <v>1</v>
      </c>
      <c r="B7" s="2" t="s">
        <v>808</v>
      </c>
      <c r="C7" s="2" t="s">
        <v>3</v>
      </c>
      <c r="D7" s="2" t="s">
        <v>3</v>
      </c>
      <c r="E7" s="2" t="s">
        <v>958</v>
      </c>
      <c r="F7" s="1" t="s">
        <v>488</v>
      </c>
      <c r="H7" s="1">
        <v>1</v>
      </c>
      <c r="K7" s="3" t="s">
        <v>819</v>
      </c>
    </row>
    <row r="8" spans="1:6">
      <c r="A8" s="1">
        <f t="shared" si="0"/>
        <v>2</v>
      </c>
      <c r="B8" s="2" t="s">
        <v>959</v>
      </c>
      <c r="C8" s="2" t="s">
        <v>129</v>
      </c>
      <c r="D8" s="2" t="s">
        <v>129</v>
      </c>
      <c r="E8" s="2" t="s">
        <v>6</v>
      </c>
      <c r="F8" s="1" t="s">
        <v>488</v>
      </c>
    </row>
    <row r="9" spans="1:6">
      <c r="A9" s="1">
        <f t="shared" si="0"/>
        <v>3</v>
      </c>
      <c r="B9" s="2" t="s">
        <v>61</v>
      </c>
      <c r="C9" s="2" t="s">
        <v>56</v>
      </c>
      <c r="D9" s="2" t="s">
        <v>64</v>
      </c>
      <c r="E9" s="2" t="s">
        <v>57</v>
      </c>
      <c r="F9" s="1" t="s">
        <v>488</v>
      </c>
    </row>
    <row r="10" spans="1:6">
      <c r="A10" s="1">
        <f t="shared" si="0"/>
        <v>4</v>
      </c>
      <c r="B10" s="2" t="s">
        <v>175</v>
      </c>
      <c r="C10" s="2" t="s">
        <v>62</v>
      </c>
      <c r="D10" s="2" t="s">
        <v>62</v>
      </c>
      <c r="E10" s="2" t="s">
        <v>6</v>
      </c>
      <c r="F10" s="1" t="s">
        <v>488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0"/>
  <dimension ref="A1:L10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C15" sqref="C15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785</v>
      </c>
      <c r="D3" s="8" t="s">
        <v>474</v>
      </c>
      <c r="E3" s="10" t="s">
        <v>784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 t="s">
        <v>960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0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K7" s="3" t="s">
        <v>819</v>
      </c>
    </row>
    <row r="8" spans="1:5">
      <c r="A8" s="1">
        <f t="shared" si="0"/>
        <v>2</v>
      </c>
      <c r="B8" s="2" t="s">
        <v>959</v>
      </c>
      <c r="C8" s="2" t="s">
        <v>129</v>
      </c>
      <c r="D8" s="2" t="s">
        <v>129</v>
      </c>
      <c r="E8" s="2" t="s">
        <v>6</v>
      </c>
    </row>
    <row r="9" spans="1:5">
      <c r="A9" s="1">
        <f t="shared" si="0"/>
        <v>3</v>
      </c>
      <c r="B9" s="2" t="s">
        <v>177</v>
      </c>
      <c r="C9" s="2" t="s">
        <v>961</v>
      </c>
      <c r="D9" s="2" t="s">
        <v>176</v>
      </c>
      <c r="E9" s="2" t="s">
        <v>10</v>
      </c>
    </row>
    <row r="10" spans="1:5">
      <c r="A10" s="1">
        <f t="shared" si="0"/>
        <v>4</v>
      </c>
      <c r="B10" s="2" t="s">
        <v>61</v>
      </c>
      <c r="C10" s="2" t="s">
        <v>962</v>
      </c>
      <c r="D10" s="2" t="s">
        <v>56</v>
      </c>
      <c r="E10" s="2" t="s">
        <v>10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1"/>
  <dimension ref="A1:L15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L3" sqref="L3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787</v>
      </c>
      <c r="D3" s="8" t="s">
        <v>474</v>
      </c>
      <c r="E3" s="10" t="s">
        <v>786</v>
      </c>
      <c r="F3" s="11"/>
      <c r="G3" s="11"/>
      <c r="H3" s="11"/>
      <c r="I3" s="11"/>
      <c r="J3" s="11"/>
      <c r="K3" s="16"/>
      <c r="L3" s="14" t="s">
        <v>475</v>
      </c>
    </row>
    <row r="4" spans="1:11">
      <c r="A4" s="8" t="s">
        <v>476</v>
      </c>
      <c r="B4" s="8"/>
      <c r="C4" s="12" t="s">
        <v>963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4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I7" s="1" t="s">
        <v>489</v>
      </c>
      <c r="K7" s="3" t="s">
        <v>819</v>
      </c>
    </row>
    <row r="8" spans="1:5">
      <c r="A8" s="1">
        <f t="shared" si="0"/>
        <v>2</v>
      </c>
      <c r="B8" s="2" t="s">
        <v>13</v>
      </c>
      <c r="C8" s="2" t="s">
        <v>12</v>
      </c>
      <c r="D8" s="2" t="s">
        <v>12</v>
      </c>
      <c r="E8" s="2" t="s">
        <v>4</v>
      </c>
    </row>
    <row r="9" spans="1:5">
      <c r="A9" s="1">
        <f t="shared" si="0"/>
        <v>3</v>
      </c>
      <c r="B9" s="2" t="s">
        <v>809</v>
      </c>
      <c r="C9" s="2" t="s">
        <v>810</v>
      </c>
      <c r="D9" s="2" t="s">
        <v>14</v>
      </c>
      <c r="E9" s="2" t="s">
        <v>14</v>
      </c>
    </row>
    <row r="10" spans="1:5">
      <c r="A10" s="1">
        <f t="shared" si="0"/>
        <v>4</v>
      </c>
      <c r="B10" s="2" t="s">
        <v>67</v>
      </c>
      <c r="C10" s="2" t="s">
        <v>66</v>
      </c>
      <c r="D10" s="2" t="s">
        <v>66</v>
      </c>
      <c r="E10" s="2" t="s">
        <v>4</v>
      </c>
    </row>
    <row r="11" spans="1:5">
      <c r="A11" s="1">
        <f t="shared" si="0"/>
        <v>5</v>
      </c>
      <c r="B11" s="2" t="s">
        <v>811</v>
      </c>
      <c r="C11" s="2" t="s">
        <v>812</v>
      </c>
      <c r="D11" s="2" t="s">
        <v>14</v>
      </c>
      <c r="E11" s="2" t="s">
        <v>14</v>
      </c>
    </row>
    <row r="12" spans="1:5">
      <c r="A12" s="1">
        <f t="shared" si="0"/>
        <v>6</v>
      </c>
      <c r="B12" s="2" t="s">
        <v>964</v>
      </c>
      <c r="C12" s="2" t="s">
        <v>129</v>
      </c>
      <c r="D12" s="2" t="s">
        <v>129</v>
      </c>
      <c r="E12" s="2" t="s">
        <v>6</v>
      </c>
    </row>
    <row r="13" spans="1:5">
      <c r="A13" s="1">
        <f t="shared" si="0"/>
        <v>7</v>
      </c>
      <c r="B13" s="2" t="s">
        <v>112</v>
      </c>
      <c r="C13" s="2" t="s">
        <v>111</v>
      </c>
      <c r="D13" s="2" t="s">
        <v>111</v>
      </c>
      <c r="E13" s="2" t="s">
        <v>6</v>
      </c>
    </row>
    <row r="14" spans="1:11">
      <c r="A14" s="1">
        <f t="shared" si="0"/>
        <v>8</v>
      </c>
      <c r="B14" s="2" t="s">
        <v>263</v>
      </c>
      <c r="C14" s="2" t="s">
        <v>824</v>
      </c>
      <c r="D14" s="37" t="s">
        <v>36</v>
      </c>
      <c r="E14" s="2" t="s">
        <v>37</v>
      </c>
      <c r="K14" s="3" t="s">
        <v>965</v>
      </c>
    </row>
    <row r="15" spans="1:11">
      <c r="A15" s="1">
        <v>9</v>
      </c>
      <c r="B15" s="2" t="s">
        <v>341</v>
      </c>
      <c r="C15" s="2" t="s">
        <v>342</v>
      </c>
      <c r="D15" s="37" t="s">
        <v>36</v>
      </c>
      <c r="E15" s="2" t="s">
        <v>37</v>
      </c>
      <c r="K15" s="3" t="s">
        <v>966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2"/>
  <dimension ref="A1:L19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B16" sqref="B16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789</v>
      </c>
      <c r="D3" s="8" t="s">
        <v>474</v>
      </c>
      <c r="E3" s="10" t="s">
        <v>788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 t="s">
        <v>788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9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I7" s="1" t="s">
        <v>489</v>
      </c>
      <c r="K7" s="3" t="s">
        <v>819</v>
      </c>
    </row>
    <row r="8" spans="1:5">
      <c r="A8" s="1">
        <f t="shared" si="0"/>
        <v>2</v>
      </c>
      <c r="B8" s="2" t="s">
        <v>964</v>
      </c>
      <c r="C8" s="2" t="s">
        <v>129</v>
      </c>
      <c r="D8" s="2" t="s">
        <v>129</v>
      </c>
      <c r="E8" s="2" t="s">
        <v>6</v>
      </c>
    </row>
    <row r="9" spans="1:5">
      <c r="A9" s="1">
        <f t="shared" si="0"/>
        <v>3</v>
      </c>
      <c r="B9" s="2" t="s">
        <v>44</v>
      </c>
      <c r="C9" s="2" t="s">
        <v>43</v>
      </c>
      <c r="D9" s="2" t="s">
        <v>43</v>
      </c>
      <c r="E9" s="2" t="s">
        <v>4</v>
      </c>
    </row>
    <row r="10" spans="1:5">
      <c r="A10" s="1">
        <f t="shared" si="0"/>
        <v>4</v>
      </c>
      <c r="B10" s="2" t="s">
        <v>906</v>
      </c>
      <c r="C10" s="2" t="s">
        <v>931</v>
      </c>
      <c r="D10" s="2" t="s">
        <v>14</v>
      </c>
      <c r="E10" s="2" t="s">
        <v>14</v>
      </c>
    </row>
    <row r="11" spans="1:5">
      <c r="A11" s="1">
        <f t="shared" si="0"/>
        <v>5</v>
      </c>
      <c r="B11" s="2" t="s">
        <v>967</v>
      </c>
      <c r="C11" s="2" t="s">
        <v>968</v>
      </c>
      <c r="D11" s="2" t="s">
        <v>14</v>
      </c>
      <c r="E11" s="2" t="s">
        <v>14</v>
      </c>
    </row>
    <row r="12" ht="22.5" spans="1:11">
      <c r="A12" s="1">
        <f t="shared" si="0"/>
        <v>6</v>
      </c>
      <c r="B12" s="2" t="s">
        <v>38</v>
      </c>
      <c r="C12" s="2" t="s">
        <v>824</v>
      </c>
      <c r="D12" s="37" t="s">
        <v>36</v>
      </c>
      <c r="E12" s="2" t="s">
        <v>37</v>
      </c>
      <c r="K12" s="3" t="s">
        <v>969</v>
      </c>
    </row>
    <row r="13" spans="1:5">
      <c r="A13" s="1">
        <f t="shared" si="0"/>
        <v>7</v>
      </c>
      <c r="B13" s="2" t="s">
        <v>112</v>
      </c>
      <c r="C13" s="2" t="s">
        <v>111</v>
      </c>
      <c r="D13" s="2" t="s">
        <v>111</v>
      </c>
      <c r="E13" s="2" t="s">
        <v>6</v>
      </c>
    </row>
    <row r="14" spans="1:5">
      <c r="A14" s="1">
        <f t="shared" si="0"/>
        <v>8</v>
      </c>
      <c r="B14" s="2" t="s">
        <v>181</v>
      </c>
      <c r="C14" s="2" t="s">
        <v>180</v>
      </c>
      <c r="D14" s="2" t="s">
        <v>180</v>
      </c>
      <c r="E14" s="2" t="s">
        <v>6</v>
      </c>
    </row>
    <row r="15" ht="22.5" spans="1:11">
      <c r="A15" s="1">
        <f t="shared" si="0"/>
        <v>9</v>
      </c>
      <c r="B15" s="2" t="s">
        <v>416</v>
      </c>
      <c r="C15" s="2" t="s">
        <v>970</v>
      </c>
      <c r="D15" s="37" t="s">
        <v>36</v>
      </c>
      <c r="E15" s="2" t="s">
        <v>37</v>
      </c>
      <c r="K15" s="3" t="s">
        <v>971</v>
      </c>
    </row>
    <row r="16" spans="1:5">
      <c r="A16" s="1">
        <f t="shared" si="0"/>
        <v>10</v>
      </c>
      <c r="B16" s="2" t="s">
        <v>183</v>
      </c>
      <c r="C16" s="2" t="s">
        <v>182</v>
      </c>
      <c r="D16" s="2" t="s">
        <v>182</v>
      </c>
      <c r="E16" s="2" t="s">
        <v>99</v>
      </c>
    </row>
    <row r="17" spans="1:5">
      <c r="A17" s="1">
        <f t="shared" si="0"/>
        <v>11</v>
      </c>
      <c r="B17" s="2" t="s">
        <v>972</v>
      </c>
      <c r="C17" s="2" t="s">
        <v>973</v>
      </c>
      <c r="D17" s="2" t="s">
        <v>14</v>
      </c>
      <c r="E17" s="2" t="s">
        <v>14</v>
      </c>
    </row>
    <row r="18" spans="1:5">
      <c r="A18" s="1">
        <f t="shared" si="0"/>
        <v>12</v>
      </c>
      <c r="B18" s="2" t="s">
        <v>974</v>
      </c>
      <c r="C18" s="2" t="s">
        <v>117</v>
      </c>
      <c r="D18" s="2" t="s">
        <v>117</v>
      </c>
      <c r="E18" s="2" t="s">
        <v>81</v>
      </c>
    </row>
    <row r="19" ht="22.5" spans="1:11">
      <c r="A19" s="1">
        <f t="shared" si="0"/>
        <v>13</v>
      </c>
      <c r="B19" s="2" t="s">
        <v>299</v>
      </c>
      <c r="C19" s="2" t="s">
        <v>938</v>
      </c>
      <c r="D19" s="37" t="s">
        <v>36</v>
      </c>
      <c r="E19" s="2" t="s">
        <v>37</v>
      </c>
      <c r="K19" s="3" t="s">
        <v>975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3"/>
  <dimension ref="A1:L16"/>
  <sheetViews>
    <sheetView tabSelected="1" view="pageBreakPreview" zoomScale="115" zoomScaleNormal="100" zoomScaleSheetLayoutView="115" workbookViewId="0">
      <pane ySplit="6" topLeftCell="A7" activePane="bottomLeft" state="frozen"/>
      <selection/>
      <selection pane="bottomLeft" activeCell="K9" sqref="K9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791</v>
      </c>
      <c r="D3" s="8" t="s">
        <v>474</v>
      </c>
      <c r="E3" s="10" t="s">
        <v>790</v>
      </c>
      <c r="F3" s="11"/>
      <c r="G3" s="11"/>
      <c r="H3" s="11"/>
      <c r="I3" s="11"/>
      <c r="J3" s="11"/>
      <c r="K3" s="16"/>
      <c r="L3" s="14" t="s">
        <v>475</v>
      </c>
    </row>
    <row r="4" spans="1:11">
      <c r="A4" s="8" t="s">
        <v>476</v>
      </c>
      <c r="B4" s="8"/>
      <c r="C4" s="12" t="s">
        <v>976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9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I7" s="1" t="s">
        <v>489</v>
      </c>
      <c r="K7" s="3" t="s">
        <v>819</v>
      </c>
    </row>
    <row r="8" spans="1:5">
      <c r="A8" s="1">
        <f t="shared" si="0"/>
        <v>2</v>
      </c>
      <c r="B8" s="2" t="s">
        <v>112</v>
      </c>
      <c r="C8" s="2" t="s">
        <v>111</v>
      </c>
      <c r="D8" s="2" t="s">
        <v>111</v>
      </c>
      <c r="E8" s="2" t="s">
        <v>6</v>
      </c>
    </row>
    <row r="9" spans="1:5">
      <c r="A9" s="1">
        <f t="shared" si="0"/>
        <v>3</v>
      </c>
      <c r="B9" s="2" t="s">
        <v>977</v>
      </c>
      <c r="C9" s="2" t="s">
        <v>978</v>
      </c>
      <c r="D9" s="2" t="s">
        <v>14</v>
      </c>
      <c r="E9" s="2" t="s">
        <v>14</v>
      </c>
    </row>
    <row r="10" spans="1:5">
      <c r="A10" s="1">
        <v>4</v>
      </c>
      <c r="B10" s="2" t="s">
        <v>979</v>
      </c>
      <c r="C10" s="2" t="s">
        <v>980</v>
      </c>
      <c r="D10" s="2" t="s">
        <v>14</v>
      </c>
      <c r="E10" s="2" t="s">
        <v>14</v>
      </c>
    </row>
    <row r="11" spans="1:5">
      <c r="A11" s="1">
        <f t="shared" ref="A11:A16" si="1">ROW()-6</f>
        <v>5</v>
      </c>
      <c r="B11" s="2" t="s">
        <v>981</v>
      </c>
      <c r="C11" s="2" t="s">
        <v>185</v>
      </c>
      <c r="D11" s="2" t="s">
        <v>185</v>
      </c>
      <c r="E11" s="2" t="s">
        <v>10</v>
      </c>
    </row>
    <row r="12" ht="22.5" spans="1:11">
      <c r="A12" s="1">
        <f t="shared" si="1"/>
        <v>6</v>
      </c>
      <c r="B12" s="2" t="s">
        <v>341</v>
      </c>
      <c r="C12" s="2" t="s">
        <v>342</v>
      </c>
      <c r="D12" s="37" t="s">
        <v>36</v>
      </c>
      <c r="E12" s="2" t="s">
        <v>37</v>
      </c>
      <c r="K12" s="3" t="s">
        <v>982</v>
      </c>
    </row>
    <row r="13" ht="22.5" spans="1:11">
      <c r="A13" s="1">
        <f t="shared" si="1"/>
        <v>7</v>
      </c>
      <c r="B13" s="2" t="s">
        <v>349</v>
      </c>
      <c r="C13" s="2" t="s">
        <v>983</v>
      </c>
      <c r="D13" s="37" t="s">
        <v>36</v>
      </c>
      <c r="E13" s="2" t="s">
        <v>6</v>
      </c>
      <c r="K13" s="3" t="s">
        <v>984</v>
      </c>
    </row>
    <row r="14" spans="1:5">
      <c r="A14" s="1">
        <f t="shared" si="1"/>
        <v>8</v>
      </c>
      <c r="B14" s="2" t="s">
        <v>929</v>
      </c>
      <c r="C14" s="2" t="s">
        <v>70</v>
      </c>
      <c r="D14" s="2" t="s">
        <v>3</v>
      </c>
      <c r="E14" s="2" t="s">
        <v>4</v>
      </c>
    </row>
    <row r="15" spans="1:5">
      <c r="A15" s="1">
        <f t="shared" si="1"/>
        <v>9</v>
      </c>
      <c r="B15" s="2" t="s">
        <v>985</v>
      </c>
      <c r="C15" s="2" t="s">
        <v>43</v>
      </c>
      <c r="D15" s="2" t="s">
        <v>3</v>
      </c>
      <c r="E15" s="2" t="s">
        <v>4</v>
      </c>
    </row>
    <row r="16" spans="1:5">
      <c r="A16" s="1">
        <f t="shared" si="1"/>
        <v>10</v>
      </c>
      <c r="B16" s="2" t="s">
        <v>986</v>
      </c>
      <c r="C16" s="2" t="s">
        <v>180</v>
      </c>
      <c r="D16" s="2" t="s">
        <v>180</v>
      </c>
      <c r="E16" s="2" t="s">
        <v>6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4"/>
  <dimension ref="A1:L11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E7" sqref="E7:E1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8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793</v>
      </c>
      <c r="D3" s="8" t="s">
        <v>474</v>
      </c>
      <c r="E3" s="10" t="s">
        <v>792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 t="s">
        <v>976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1" si="0">ROW()-6</f>
        <v>1</v>
      </c>
      <c r="B7" s="2" t="s">
        <v>808</v>
      </c>
      <c r="C7" s="2" t="s">
        <v>3</v>
      </c>
      <c r="D7" s="2" t="s">
        <v>3</v>
      </c>
      <c r="E7" s="2" t="s">
        <v>958</v>
      </c>
      <c r="F7" s="1" t="s">
        <v>488</v>
      </c>
      <c r="H7" s="1">
        <v>1</v>
      </c>
      <c r="I7" s="1" t="s">
        <v>489</v>
      </c>
      <c r="K7" s="3" t="s">
        <v>819</v>
      </c>
    </row>
    <row r="8" spans="1:5">
      <c r="A8" s="1">
        <f t="shared" si="0"/>
        <v>2</v>
      </c>
      <c r="B8" s="2" t="s">
        <v>905</v>
      </c>
      <c r="C8" s="2" t="s">
        <v>111</v>
      </c>
      <c r="D8" s="2" t="s">
        <v>129</v>
      </c>
      <c r="E8" s="2" t="s">
        <v>6</v>
      </c>
    </row>
    <row r="9" spans="1:5">
      <c r="A9" s="1">
        <f t="shared" si="0"/>
        <v>3</v>
      </c>
      <c r="B9" s="2" t="s">
        <v>987</v>
      </c>
      <c r="C9" s="2" t="s">
        <v>988</v>
      </c>
      <c r="D9" s="2" t="s">
        <v>14</v>
      </c>
      <c r="E9" s="2" t="s">
        <v>14</v>
      </c>
    </row>
    <row r="10" spans="1:11">
      <c r="A10" s="1">
        <f t="shared" si="0"/>
        <v>4</v>
      </c>
      <c r="B10" s="2" t="s">
        <v>989</v>
      </c>
      <c r="C10" s="2" t="s">
        <v>990</v>
      </c>
      <c r="D10" s="37" t="s">
        <v>36</v>
      </c>
      <c r="E10" s="2" t="s">
        <v>37</v>
      </c>
      <c r="K10" s="3" t="s">
        <v>991</v>
      </c>
    </row>
    <row r="11" spans="1:5">
      <c r="A11" s="1">
        <f t="shared" si="0"/>
        <v>5</v>
      </c>
      <c r="B11" s="2" t="s">
        <v>981</v>
      </c>
      <c r="C11" s="2" t="s">
        <v>185</v>
      </c>
      <c r="D11" s="2" t="s">
        <v>185</v>
      </c>
      <c r="E11" s="2" t="s">
        <v>10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5"/>
  <dimension ref="A1:L33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B14" sqref="B14:E14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795</v>
      </c>
      <c r="D3" s="8" t="s">
        <v>474</v>
      </c>
      <c r="E3" s="10" t="s">
        <v>794</v>
      </c>
      <c r="F3" s="11"/>
      <c r="G3" s="11"/>
      <c r="H3" s="11"/>
      <c r="I3" s="11"/>
      <c r="J3" s="11"/>
      <c r="K3" s="16"/>
      <c r="L3" s="14" t="s">
        <v>475</v>
      </c>
    </row>
    <row r="4" spans="1:11">
      <c r="A4" s="8" t="s">
        <v>476</v>
      </c>
      <c r="B4" s="8"/>
      <c r="C4" s="12" t="s">
        <v>794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3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I7" s="1" t="s">
        <v>489</v>
      </c>
      <c r="K7" s="3" t="s">
        <v>819</v>
      </c>
    </row>
    <row r="8" spans="1:5">
      <c r="A8" s="1">
        <f t="shared" si="0"/>
        <v>2</v>
      </c>
      <c r="B8" s="2" t="s">
        <v>13</v>
      </c>
      <c r="C8" s="2" t="s">
        <v>12</v>
      </c>
      <c r="D8" s="2" t="s">
        <v>12</v>
      </c>
      <c r="E8" s="2" t="s">
        <v>4</v>
      </c>
    </row>
    <row r="9" spans="1:5">
      <c r="A9" s="1">
        <f t="shared" si="0"/>
        <v>3</v>
      </c>
      <c r="B9" s="2" t="s">
        <v>809</v>
      </c>
      <c r="C9" s="2" t="s">
        <v>810</v>
      </c>
      <c r="D9" s="2" t="s">
        <v>14</v>
      </c>
      <c r="E9" s="2" t="s">
        <v>14</v>
      </c>
    </row>
    <row r="10" spans="1:5">
      <c r="A10" s="1">
        <f t="shared" si="0"/>
        <v>4</v>
      </c>
      <c r="B10" s="2" t="s">
        <v>67</v>
      </c>
      <c r="C10" s="2" t="s">
        <v>66</v>
      </c>
      <c r="D10" s="2" t="s">
        <v>66</v>
      </c>
      <c r="E10" s="2" t="s">
        <v>4</v>
      </c>
    </row>
    <row r="11" spans="1:5">
      <c r="A11" s="1">
        <f t="shared" si="0"/>
        <v>5</v>
      </c>
      <c r="B11" s="2" t="s">
        <v>811</v>
      </c>
      <c r="C11" s="2" t="s">
        <v>812</v>
      </c>
      <c r="D11" s="2" t="s">
        <v>14</v>
      </c>
      <c r="E11" s="2" t="s">
        <v>14</v>
      </c>
    </row>
    <row r="12" spans="1:11">
      <c r="A12" s="1">
        <f t="shared" si="0"/>
        <v>6</v>
      </c>
      <c r="B12" s="2" t="s">
        <v>181</v>
      </c>
      <c r="C12" s="2" t="s">
        <v>180</v>
      </c>
      <c r="D12" s="2" t="s">
        <v>180</v>
      </c>
      <c r="E12" s="2" t="s">
        <v>6</v>
      </c>
      <c r="K12" s="3" t="s">
        <v>992</v>
      </c>
    </row>
    <row r="13" spans="1:5">
      <c r="A13" s="1">
        <f t="shared" si="0"/>
        <v>7</v>
      </c>
      <c r="B13" s="2" t="s">
        <v>964</v>
      </c>
      <c r="C13" s="2" t="s">
        <v>129</v>
      </c>
      <c r="D13" s="2" t="s">
        <v>129</v>
      </c>
      <c r="E13" s="2" t="s">
        <v>4</v>
      </c>
    </row>
    <row r="14" spans="1:5">
      <c r="A14" s="1">
        <v>8</v>
      </c>
      <c r="B14" s="2" t="s">
        <v>929</v>
      </c>
      <c r="C14" s="2" t="s">
        <v>70</v>
      </c>
      <c r="D14" s="2" t="s">
        <v>3</v>
      </c>
      <c r="E14" s="2" t="s">
        <v>4</v>
      </c>
    </row>
    <row r="15" spans="1:5">
      <c r="A15" s="1">
        <f t="shared" ref="A15:A22" si="1">ROW()-6</f>
        <v>9</v>
      </c>
      <c r="B15" s="2" t="s">
        <v>44</v>
      </c>
      <c r="C15" s="2" t="s">
        <v>43</v>
      </c>
      <c r="D15" s="2" t="s">
        <v>43</v>
      </c>
      <c r="E15" s="2" t="s">
        <v>4</v>
      </c>
    </row>
    <row r="16" spans="1:5">
      <c r="A16" s="1">
        <f t="shared" si="1"/>
        <v>10</v>
      </c>
      <c r="B16" s="2" t="s">
        <v>112</v>
      </c>
      <c r="C16" s="2" t="s">
        <v>111</v>
      </c>
      <c r="D16" s="2" t="s">
        <v>111</v>
      </c>
      <c r="E16" s="2" t="s">
        <v>6</v>
      </c>
    </row>
    <row r="17" spans="1:5">
      <c r="A17" s="1">
        <f t="shared" si="1"/>
        <v>11</v>
      </c>
      <c r="B17" s="2" t="s">
        <v>341</v>
      </c>
      <c r="C17" s="2" t="s">
        <v>342</v>
      </c>
      <c r="D17" s="37" t="s">
        <v>36</v>
      </c>
      <c r="E17" s="2" t="s">
        <v>37</v>
      </c>
    </row>
    <row r="18" spans="1:5">
      <c r="A18" s="1">
        <f t="shared" si="1"/>
        <v>12</v>
      </c>
      <c r="B18" s="2" t="s">
        <v>993</v>
      </c>
      <c r="C18" s="2" t="s">
        <v>978</v>
      </c>
      <c r="D18" s="2" t="s">
        <v>14</v>
      </c>
      <c r="E18" s="2" t="s">
        <v>14</v>
      </c>
    </row>
    <row r="19" spans="1:5">
      <c r="A19" s="1">
        <f t="shared" si="1"/>
        <v>13</v>
      </c>
      <c r="B19" s="2" t="s">
        <v>993</v>
      </c>
      <c r="C19" s="2" t="s">
        <v>980</v>
      </c>
      <c r="D19" s="2" t="s">
        <v>14</v>
      </c>
      <c r="E19" s="2" t="s">
        <v>14</v>
      </c>
    </row>
    <row r="20" spans="1:11">
      <c r="A20" s="1">
        <f t="shared" si="1"/>
        <v>14</v>
      </c>
      <c r="B20" s="2" t="s">
        <v>329</v>
      </c>
      <c r="C20" s="2" t="s">
        <v>994</v>
      </c>
      <c r="D20" s="37" t="s">
        <v>36</v>
      </c>
      <c r="E20" s="2" t="s">
        <v>37</v>
      </c>
      <c r="K20" s="3" t="s">
        <v>995</v>
      </c>
    </row>
    <row r="21" spans="1:11">
      <c r="A21" s="1">
        <f t="shared" si="1"/>
        <v>15</v>
      </c>
      <c r="B21" s="2" t="s">
        <v>996</v>
      </c>
      <c r="C21" s="2" t="s">
        <v>997</v>
      </c>
      <c r="D21" s="37" t="s">
        <v>36</v>
      </c>
      <c r="E21" s="2" t="s">
        <v>37</v>
      </c>
      <c r="K21" s="3" t="s">
        <v>998</v>
      </c>
    </row>
    <row r="22" spans="1:5">
      <c r="A22" s="1">
        <f t="shared" si="1"/>
        <v>16</v>
      </c>
      <c r="B22" s="2" t="s">
        <v>999</v>
      </c>
      <c r="C22" s="2" t="s">
        <v>953</v>
      </c>
      <c r="D22" s="37" t="s">
        <v>36</v>
      </c>
      <c r="E22" s="2" t="s">
        <v>37</v>
      </c>
    </row>
    <row r="23" spans="1:5">
      <c r="A23" s="1">
        <f t="shared" ref="A23:A31" si="2">ROW()-6</f>
        <v>17</v>
      </c>
      <c r="B23" s="2" t="s">
        <v>416</v>
      </c>
      <c r="C23" s="2" t="s">
        <v>970</v>
      </c>
      <c r="D23" s="37" t="s">
        <v>36</v>
      </c>
      <c r="E23" s="2" t="s">
        <v>37</v>
      </c>
    </row>
    <row r="24" spans="1:5">
      <c r="A24" s="1">
        <f t="shared" si="2"/>
        <v>18</v>
      </c>
      <c r="B24" s="2" t="s">
        <v>972</v>
      </c>
      <c r="C24" s="2" t="s">
        <v>973</v>
      </c>
      <c r="D24" s="2" t="s">
        <v>14</v>
      </c>
      <c r="E24" s="2" t="s">
        <v>14</v>
      </c>
    </row>
    <row r="25" spans="1:11">
      <c r="A25" s="1">
        <f t="shared" si="2"/>
        <v>19</v>
      </c>
      <c r="B25" s="2" t="s">
        <v>188</v>
      </c>
      <c r="C25" s="2" t="s">
        <v>187</v>
      </c>
      <c r="D25" s="2" t="s">
        <v>187</v>
      </c>
      <c r="E25" s="2" t="s">
        <v>99</v>
      </c>
      <c r="K25" s="19"/>
    </row>
    <row r="26" spans="1:11">
      <c r="A26" s="1">
        <f t="shared" si="2"/>
        <v>20</v>
      </c>
      <c r="B26" s="2" t="s">
        <v>190</v>
      </c>
      <c r="C26" s="2" t="s">
        <v>189</v>
      </c>
      <c r="D26" s="2" t="s">
        <v>189</v>
      </c>
      <c r="E26" s="2" t="s">
        <v>99</v>
      </c>
      <c r="K26" s="19"/>
    </row>
    <row r="27" spans="1:11">
      <c r="A27" s="1">
        <f t="shared" si="2"/>
        <v>21</v>
      </c>
      <c r="B27" s="2" t="s">
        <v>191</v>
      </c>
      <c r="C27" s="2" t="s">
        <v>182</v>
      </c>
      <c r="D27" s="2" t="s">
        <v>182</v>
      </c>
      <c r="E27" s="2" t="s">
        <v>99</v>
      </c>
      <c r="G27" s="1">
        <v>0</v>
      </c>
      <c r="K27" s="19"/>
    </row>
    <row r="28" spans="1:5">
      <c r="A28" s="1">
        <f t="shared" si="2"/>
        <v>22</v>
      </c>
      <c r="B28" s="2" t="s">
        <v>193</v>
      </c>
      <c r="C28" s="2" t="s">
        <v>192</v>
      </c>
      <c r="D28" s="2" t="s">
        <v>192</v>
      </c>
      <c r="E28" s="2" t="s">
        <v>99</v>
      </c>
    </row>
    <row r="29" spans="1:5">
      <c r="A29" s="1">
        <f t="shared" si="2"/>
        <v>23</v>
      </c>
      <c r="B29" s="2" t="s">
        <v>1000</v>
      </c>
      <c r="C29" s="2" t="s">
        <v>938</v>
      </c>
      <c r="D29" s="37" t="s">
        <v>36</v>
      </c>
      <c r="E29" s="2" t="s">
        <v>37</v>
      </c>
    </row>
    <row r="30" ht="22.5" spans="1:11">
      <c r="A30" s="1">
        <f t="shared" si="2"/>
        <v>24</v>
      </c>
      <c r="B30" s="2" t="s">
        <v>324</v>
      </c>
      <c r="C30" s="2" t="s">
        <v>1001</v>
      </c>
      <c r="D30" s="37" t="s">
        <v>36</v>
      </c>
      <c r="E30" s="2" t="s">
        <v>37</v>
      </c>
      <c r="K30" s="3" t="s">
        <v>1002</v>
      </c>
    </row>
    <row r="31" spans="1:5">
      <c r="A31" s="1">
        <f t="shared" si="2"/>
        <v>25</v>
      </c>
      <c r="B31" s="2" t="s">
        <v>1003</v>
      </c>
      <c r="C31" s="2" t="s">
        <v>896</v>
      </c>
      <c r="D31" s="2" t="s">
        <v>52</v>
      </c>
      <c r="E31" s="2" t="s">
        <v>57</v>
      </c>
    </row>
    <row r="32" spans="1:5">
      <c r="A32" s="1">
        <v>25</v>
      </c>
      <c r="B32" s="2" t="s">
        <v>1004</v>
      </c>
      <c r="C32" s="2" t="s">
        <v>216</v>
      </c>
      <c r="D32" s="2" t="s">
        <v>216</v>
      </c>
      <c r="E32" s="2" t="s">
        <v>213</v>
      </c>
    </row>
    <row r="33" spans="1:11">
      <c r="A33" s="1">
        <v>26</v>
      </c>
      <c r="B33" s="2" t="s">
        <v>1005</v>
      </c>
      <c r="C33" s="2" t="s">
        <v>1006</v>
      </c>
      <c r="D33" s="37" t="s">
        <v>36</v>
      </c>
      <c r="E33" s="2" t="s">
        <v>37</v>
      </c>
      <c r="K33" s="3" t="s">
        <v>1007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6"/>
  <dimension ref="A1:L10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C26" sqref="C26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797</v>
      </c>
      <c r="D3" s="8" t="s">
        <v>474</v>
      </c>
      <c r="E3" s="10" t="s">
        <v>796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I7" s="1" t="s">
        <v>489</v>
      </c>
      <c r="K7" s="3" t="s">
        <v>819</v>
      </c>
    </row>
    <row r="8" spans="1:5">
      <c r="A8" s="1">
        <f>ROW()-6</f>
        <v>2</v>
      </c>
      <c r="B8" s="2" t="s">
        <v>1008</v>
      </c>
      <c r="C8" s="2" t="s">
        <v>129</v>
      </c>
      <c r="D8" s="2" t="s">
        <v>129</v>
      </c>
      <c r="E8" s="2" t="s">
        <v>6</v>
      </c>
    </row>
    <row r="9" spans="1:5">
      <c r="A9" s="1">
        <v>3</v>
      </c>
      <c r="B9" s="2" t="s">
        <v>1009</v>
      </c>
      <c r="C9" s="2" t="s">
        <v>1010</v>
      </c>
      <c r="D9" s="2" t="s">
        <v>3</v>
      </c>
      <c r="E9" s="2" t="s">
        <v>4</v>
      </c>
    </row>
    <row r="10" spans="1:5">
      <c r="A10" s="1">
        <v>6</v>
      </c>
      <c r="B10" s="2" t="s">
        <v>1011</v>
      </c>
      <c r="C10" s="2" t="s">
        <v>1012</v>
      </c>
      <c r="D10" s="37" t="s">
        <v>36</v>
      </c>
      <c r="E10" s="2" t="s">
        <v>37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7"/>
  <dimension ref="A1:L12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C9" sqref="C9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799</v>
      </c>
      <c r="D3" s="8" t="s">
        <v>474</v>
      </c>
      <c r="E3" s="10" t="s">
        <v>798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8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1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I7" s="1" t="s">
        <v>489</v>
      </c>
      <c r="K7" s="3" t="s">
        <v>819</v>
      </c>
    </row>
    <row r="8" spans="1:5">
      <c r="A8" s="1">
        <f t="shared" si="0"/>
        <v>2</v>
      </c>
      <c r="B8" s="2" t="s">
        <v>1013</v>
      </c>
      <c r="C8" s="2" t="s">
        <v>52</v>
      </c>
      <c r="D8" s="2" t="s">
        <v>52</v>
      </c>
      <c r="E8" s="2" t="s">
        <v>4</v>
      </c>
    </row>
    <row r="9" spans="1:5">
      <c r="A9" s="1">
        <f t="shared" si="0"/>
        <v>3</v>
      </c>
      <c r="B9" s="2" t="s">
        <v>1014</v>
      </c>
      <c r="C9" s="2" t="s">
        <v>810</v>
      </c>
      <c r="D9" s="2" t="s">
        <v>14</v>
      </c>
      <c r="E9" s="2" t="s">
        <v>14</v>
      </c>
    </row>
    <row r="10" spans="1:5">
      <c r="A10" s="1">
        <f t="shared" si="0"/>
        <v>4</v>
      </c>
      <c r="B10" s="2" t="s">
        <v>197</v>
      </c>
      <c r="C10" s="2" t="s">
        <v>196</v>
      </c>
      <c r="D10" s="2" t="s">
        <v>196</v>
      </c>
      <c r="E10" s="2" t="s">
        <v>154</v>
      </c>
    </row>
    <row r="11" spans="1:5">
      <c r="A11" s="1">
        <f t="shared" si="0"/>
        <v>5</v>
      </c>
      <c r="B11" s="2" t="s">
        <v>200</v>
      </c>
      <c r="C11" s="2" t="s">
        <v>198</v>
      </c>
      <c r="D11" s="2" t="s">
        <v>198</v>
      </c>
      <c r="E11" s="2" t="s">
        <v>199</v>
      </c>
    </row>
    <row r="12" spans="1:5">
      <c r="A12" s="1">
        <v>6</v>
      </c>
      <c r="B12" s="2" t="s">
        <v>203</v>
      </c>
      <c r="C12" s="2" t="s">
        <v>201</v>
      </c>
      <c r="D12" s="2" t="s">
        <v>201</v>
      </c>
      <c r="E12" s="2" t="s">
        <v>4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8"/>
  <dimension ref="A1:L20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L1" sqref="L1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801</v>
      </c>
      <c r="D3" s="8" t="s">
        <v>474</v>
      </c>
      <c r="E3" s="10" t="s">
        <v>800</v>
      </c>
      <c r="F3" s="11"/>
      <c r="G3" s="11"/>
      <c r="H3" s="11"/>
      <c r="I3" s="11"/>
      <c r="J3" s="11"/>
      <c r="K3" s="16"/>
      <c r="L3" s="14" t="s">
        <v>475</v>
      </c>
    </row>
    <row r="4" spans="1:11">
      <c r="A4" s="8" t="s">
        <v>476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4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I7" s="1" t="s">
        <v>489</v>
      </c>
      <c r="K7" s="3" t="s">
        <v>819</v>
      </c>
    </row>
    <row r="8" spans="1:5">
      <c r="A8" s="1">
        <f t="shared" si="0"/>
        <v>2</v>
      </c>
      <c r="B8" s="2" t="s">
        <v>13</v>
      </c>
      <c r="C8" s="2" t="s">
        <v>12</v>
      </c>
      <c r="D8" s="2" t="s">
        <v>12</v>
      </c>
      <c r="E8" s="2" t="s">
        <v>4</v>
      </c>
    </row>
    <row r="9" spans="1:5">
      <c r="A9" s="1">
        <f t="shared" si="0"/>
        <v>3</v>
      </c>
      <c r="B9" s="2" t="s">
        <v>809</v>
      </c>
      <c r="C9" s="2" t="s">
        <v>810</v>
      </c>
      <c r="D9" s="2" t="s">
        <v>14</v>
      </c>
      <c r="E9" s="2" t="s">
        <v>14</v>
      </c>
    </row>
    <row r="10" spans="1:5">
      <c r="A10" s="1">
        <f t="shared" si="0"/>
        <v>4</v>
      </c>
      <c r="B10" s="2" t="s">
        <v>67</v>
      </c>
      <c r="C10" s="2" t="s">
        <v>66</v>
      </c>
      <c r="D10" s="2" t="s">
        <v>66</v>
      </c>
      <c r="E10" s="2" t="s">
        <v>4</v>
      </c>
    </row>
    <row r="11" spans="1:5">
      <c r="A11" s="1">
        <f t="shared" si="0"/>
        <v>5</v>
      </c>
      <c r="B11" s="2" t="s">
        <v>811</v>
      </c>
      <c r="C11" s="2" t="s">
        <v>812</v>
      </c>
      <c r="D11" s="2" t="s">
        <v>14</v>
      </c>
      <c r="E11" s="2" t="s">
        <v>14</v>
      </c>
    </row>
    <row r="12" spans="1:5">
      <c r="A12" s="1">
        <f t="shared" si="0"/>
        <v>6</v>
      </c>
      <c r="B12" s="2" t="s">
        <v>1015</v>
      </c>
      <c r="C12" s="2" t="s">
        <v>43</v>
      </c>
      <c r="D12" s="2" t="s">
        <v>43</v>
      </c>
      <c r="E12" s="2" t="s">
        <v>4</v>
      </c>
    </row>
    <row r="13" spans="1:5">
      <c r="A13" s="1">
        <f t="shared" si="0"/>
        <v>7</v>
      </c>
      <c r="B13" s="2" t="s">
        <v>40</v>
      </c>
      <c r="C13" s="2" t="s">
        <v>70</v>
      </c>
      <c r="D13" s="2" t="s">
        <v>3</v>
      </c>
      <c r="E13" s="2" t="s">
        <v>4</v>
      </c>
    </row>
    <row r="14" ht="22.5" spans="1:11">
      <c r="A14" s="1">
        <f t="shared" si="0"/>
        <v>8</v>
      </c>
      <c r="B14" s="2" t="s">
        <v>384</v>
      </c>
      <c r="C14" s="2" t="s">
        <v>1016</v>
      </c>
      <c r="D14" s="37" t="s">
        <v>94</v>
      </c>
      <c r="E14" s="2" t="s">
        <v>95</v>
      </c>
      <c r="K14" s="3" t="s">
        <v>1017</v>
      </c>
    </row>
    <row r="15" ht="22.5" spans="1:11">
      <c r="A15" s="1">
        <v>5</v>
      </c>
      <c r="B15" s="2" t="s">
        <v>1018</v>
      </c>
      <c r="C15" s="2" t="s">
        <v>1019</v>
      </c>
      <c r="D15" s="37" t="s">
        <v>36</v>
      </c>
      <c r="E15" s="2" t="s">
        <v>37</v>
      </c>
      <c r="K15" s="3" t="s">
        <v>1020</v>
      </c>
    </row>
    <row r="16" spans="1:5">
      <c r="A16" s="1">
        <f t="shared" ref="A16:A20" si="1">ROW()-6</f>
        <v>10</v>
      </c>
      <c r="B16" s="2" t="s">
        <v>1021</v>
      </c>
      <c r="C16" s="2" t="s">
        <v>31</v>
      </c>
      <c r="D16" s="2" t="s">
        <v>31</v>
      </c>
      <c r="E16" s="2" t="s">
        <v>6</v>
      </c>
    </row>
    <row r="17" spans="1:5">
      <c r="A17" s="1">
        <f t="shared" si="1"/>
        <v>11</v>
      </c>
      <c r="B17" s="2" t="s">
        <v>1022</v>
      </c>
      <c r="C17" s="2" t="s">
        <v>198</v>
      </c>
      <c r="D17" s="2" t="s">
        <v>198</v>
      </c>
      <c r="E17" s="2" t="s">
        <v>154</v>
      </c>
    </row>
    <row r="18" spans="1:5">
      <c r="A18" s="1">
        <f t="shared" si="1"/>
        <v>12</v>
      </c>
      <c r="B18" s="2" t="s">
        <v>1023</v>
      </c>
      <c r="C18" s="2" t="s">
        <v>1024</v>
      </c>
      <c r="D18" s="2" t="s">
        <v>14</v>
      </c>
      <c r="E18" s="2" t="s">
        <v>14</v>
      </c>
    </row>
    <row r="19" spans="1:11">
      <c r="A19" s="1">
        <f t="shared" si="1"/>
        <v>13</v>
      </c>
      <c r="B19" s="2" t="s">
        <v>1025</v>
      </c>
      <c r="C19" s="2" t="s">
        <v>824</v>
      </c>
      <c r="D19" s="37" t="s">
        <v>36</v>
      </c>
      <c r="E19" s="2" t="s">
        <v>37</v>
      </c>
      <c r="K19" s="3" t="s">
        <v>1026</v>
      </c>
    </row>
    <row r="20" spans="1:5">
      <c r="A20" s="1">
        <f t="shared" si="1"/>
        <v>14</v>
      </c>
      <c r="B20" s="2" t="s">
        <v>1027</v>
      </c>
      <c r="C20" s="2" t="s">
        <v>1028</v>
      </c>
      <c r="D20" s="2" t="s">
        <v>52</v>
      </c>
      <c r="E20" s="2" t="s">
        <v>57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9"/>
  <dimension ref="A1:L11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D17" sqref="D17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803</v>
      </c>
      <c r="D3" s="8" t="s">
        <v>474</v>
      </c>
      <c r="E3" s="10" t="s">
        <v>802</v>
      </c>
      <c r="F3" s="11"/>
      <c r="G3" s="11"/>
      <c r="H3" s="11"/>
      <c r="I3" s="11"/>
      <c r="J3" s="11"/>
      <c r="K3" s="16"/>
      <c r="L3" s="14" t="s">
        <v>475</v>
      </c>
    </row>
    <row r="4" spans="1:11">
      <c r="A4" s="8" t="s">
        <v>476</v>
      </c>
      <c r="B4" s="8"/>
      <c r="C4" s="12" t="s">
        <v>1029</v>
      </c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1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I7" s="1" t="s">
        <v>489</v>
      </c>
      <c r="K7" s="3" t="s">
        <v>819</v>
      </c>
    </row>
    <row r="8" spans="1:5">
      <c r="A8" s="1">
        <f t="shared" si="0"/>
        <v>2</v>
      </c>
      <c r="B8" s="2" t="s">
        <v>1030</v>
      </c>
      <c r="C8" s="2" t="s">
        <v>129</v>
      </c>
      <c r="D8" s="2" t="s">
        <v>129</v>
      </c>
      <c r="E8" s="2" t="s">
        <v>6</v>
      </c>
    </row>
    <row r="9" spans="1:5">
      <c r="A9" s="1">
        <f t="shared" si="0"/>
        <v>3</v>
      </c>
      <c r="B9" s="2" t="s">
        <v>1031</v>
      </c>
      <c r="C9" s="2" t="s">
        <v>810</v>
      </c>
      <c r="D9" s="2" t="s">
        <v>14</v>
      </c>
      <c r="E9" s="2" t="s">
        <v>14</v>
      </c>
    </row>
    <row r="10" spans="1:11">
      <c r="A10" s="1">
        <f t="shared" si="0"/>
        <v>4</v>
      </c>
      <c r="B10" s="2" t="s">
        <v>310</v>
      </c>
      <c r="C10" s="2" t="s">
        <v>113</v>
      </c>
      <c r="D10" s="37" t="s">
        <v>36</v>
      </c>
      <c r="E10" s="2" t="s">
        <v>37</v>
      </c>
      <c r="K10" s="3" t="s">
        <v>1032</v>
      </c>
    </row>
    <row r="11" spans="1:5">
      <c r="A11" s="1">
        <f t="shared" si="0"/>
        <v>5</v>
      </c>
      <c r="B11" s="2" t="s">
        <v>1033</v>
      </c>
      <c r="C11" s="2" t="s">
        <v>198</v>
      </c>
      <c r="D11" s="2" t="s">
        <v>198</v>
      </c>
      <c r="E11" s="2" t="s">
        <v>69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0"/>
  <dimension ref="A1:L15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K27" sqref="K27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805</v>
      </c>
      <c r="D3" s="8" t="s">
        <v>474</v>
      </c>
      <c r="E3" s="10" t="s">
        <v>804</v>
      </c>
      <c r="F3" s="11"/>
      <c r="G3" s="11"/>
      <c r="H3" s="11"/>
      <c r="I3" s="11"/>
      <c r="J3" s="11"/>
      <c r="K3" s="16"/>
      <c r="L3" s="18" t="s">
        <v>475</v>
      </c>
    </row>
    <row r="4" spans="1:11">
      <c r="A4" s="8" t="s">
        <v>476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5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I7" s="1" t="s">
        <v>489</v>
      </c>
      <c r="K7" s="3" t="s">
        <v>819</v>
      </c>
    </row>
    <row r="8" spans="1:5">
      <c r="A8" s="1">
        <f t="shared" si="0"/>
        <v>2</v>
      </c>
      <c r="B8" s="2" t="s">
        <v>53</v>
      </c>
      <c r="C8" s="2" t="s">
        <v>52</v>
      </c>
      <c r="D8" s="2" t="s">
        <v>52</v>
      </c>
      <c r="E8" s="2" t="s">
        <v>4</v>
      </c>
    </row>
    <row r="9" spans="1:5">
      <c r="A9" s="1">
        <f t="shared" si="0"/>
        <v>3</v>
      </c>
      <c r="B9" s="2" t="s">
        <v>897</v>
      </c>
      <c r="C9" s="2" t="s">
        <v>1034</v>
      </c>
      <c r="D9" s="2" t="s">
        <v>14</v>
      </c>
      <c r="E9" s="2" t="s">
        <v>14</v>
      </c>
    </row>
    <row r="10" spans="1:5">
      <c r="A10" s="1">
        <f t="shared" si="0"/>
        <v>4</v>
      </c>
      <c r="B10" s="2" t="s">
        <v>209</v>
      </c>
      <c r="C10" s="2" t="s">
        <v>208</v>
      </c>
      <c r="D10" s="2" t="s">
        <v>208</v>
      </c>
      <c r="E10" s="2" t="s">
        <v>10</v>
      </c>
    </row>
    <row r="11" spans="1:5">
      <c r="A11" s="1">
        <f t="shared" si="0"/>
        <v>5</v>
      </c>
      <c r="B11" s="2" t="s">
        <v>19</v>
      </c>
      <c r="C11" s="2" t="s">
        <v>18</v>
      </c>
      <c r="D11" s="2" t="s">
        <v>198</v>
      </c>
      <c r="E11" s="2" t="s">
        <v>57</v>
      </c>
    </row>
    <row r="12" spans="1:5">
      <c r="A12" s="1">
        <f t="shared" si="0"/>
        <v>6</v>
      </c>
      <c r="B12" s="2" t="s">
        <v>902</v>
      </c>
      <c r="C12" s="2" t="s">
        <v>903</v>
      </c>
      <c r="D12" s="37" t="s">
        <v>36</v>
      </c>
      <c r="E12" s="2" t="s">
        <v>37</v>
      </c>
    </row>
    <row r="13" spans="1:5">
      <c r="A13" s="1">
        <f t="shared" si="0"/>
        <v>7</v>
      </c>
      <c r="B13" s="2" t="s">
        <v>1035</v>
      </c>
      <c r="C13" s="2" t="s">
        <v>1036</v>
      </c>
      <c r="D13" s="37" t="s">
        <v>36</v>
      </c>
      <c r="E13" s="2" t="s">
        <v>37</v>
      </c>
    </row>
    <row r="14" spans="1:5">
      <c r="A14" s="1">
        <f t="shared" si="0"/>
        <v>8</v>
      </c>
      <c r="B14" s="2" t="s">
        <v>1037</v>
      </c>
      <c r="C14" s="2" t="s">
        <v>39</v>
      </c>
      <c r="D14" s="2" t="s">
        <v>39</v>
      </c>
      <c r="E14" s="2" t="s">
        <v>10</v>
      </c>
    </row>
    <row r="15" spans="1:5">
      <c r="A15" s="1">
        <f t="shared" si="0"/>
        <v>9</v>
      </c>
      <c r="B15" s="2" t="s">
        <v>207</v>
      </c>
      <c r="C15" s="2" t="s">
        <v>206</v>
      </c>
      <c r="D15" s="2" t="s">
        <v>206</v>
      </c>
      <c r="E15" s="2" t="s">
        <v>69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2"/>
  <dimension ref="A1:L14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C15" sqref="C15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1038</v>
      </c>
      <c r="D3" s="8" t="s">
        <v>474</v>
      </c>
      <c r="E3" s="10" t="s">
        <v>1039</v>
      </c>
      <c r="F3" s="11"/>
      <c r="G3" s="11"/>
      <c r="H3" s="11"/>
      <c r="I3" s="11"/>
      <c r="J3" s="11"/>
      <c r="K3" s="16"/>
      <c r="L3" s="14" t="s">
        <v>475</v>
      </c>
    </row>
    <row r="4" spans="1:11">
      <c r="A4" s="8" t="s">
        <v>476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5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I7" s="1" t="s">
        <v>489</v>
      </c>
      <c r="K7" s="3" t="s">
        <v>819</v>
      </c>
    </row>
    <row r="8" spans="1:5">
      <c r="A8" s="1">
        <f t="shared" si="0"/>
        <v>2</v>
      </c>
      <c r="B8" s="2" t="s">
        <v>1040</v>
      </c>
      <c r="C8" s="2" t="s">
        <v>210</v>
      </c>
      <c r="D8" s="2" t="s">
        <v>210</v>
      </c>
      <c r="E8" s="2" t="s">
        <v>57</v>
      </c>
    </row>
    <row r="9" spans="1:5">
      <c r="A9" s="1">
        <f t="shared" si="0"/>
        <v>3</v>
      </c>
      <c r="B9" s="2" t="s">
        <v>1041</v>
      </c>
      <c r="C9" s="2" t="s">
        <v>211</v>
      </c>
      <c r="D9" s="2" t="s">
        <v>211</v>
      </c>
      <c r="E9" s="2" t="s">
        <v>57</v>
      </c>
    </row>
    <row r="10" spans="1:5">
      <c r="A10" s="1">
        <f t="shared" si="0"/>
        <v>4</v>
      </c>
      <c r="B10" s="2" t="s">
        <v>1042</v>
      </c>
      <c r="C10" s="2" t="s">
        <v>1043</v>
      </c>
      <c r="D10" s="37" t="s">
        <v>36</v>
      </c>
      <c r="E10" s="2" t="s">
        <v>37</v>
      </c>
    </row>
    <row r="11" spans="1:5">
      <c r="A11" s="1">
        <f t="shared" si="0"/>
        <v>5</v>
      </c>
      <c r="B11" s="2" t="s">
        <v>1044</v>
      </c>
      <c r="C11" s="2" t="s">
        <v>212</v>
      </c>
      <c r="D11" s="2" t="s">
        <v>212</v>
      </c>
      <c r="E11" s="2" t="s">
        <v>213</v>
      </c>
    </row>
    <row r="12" spans="1:5">
      <c r="A12" s="1">
        <f t="shared" si="0"/>
        <v>6</v>
      </c>
      <c r="B12" s="2" t="s">
        <v>1045</v>
      </c>
      <c r="C12" s="2" t="s">
        <v>214</v>
      </c>
      <c r="D12" s="2" t="s">
        <v>214</v>
      </c>
      <c r="E12" s="2" t="s">
        <v>213</v>
      </c>
    </row>
    <row r="13" spans="1:5">
      <c r="A13" s="1">
        <f t="shared" si="0"/>
        <v>7</v>
      </c>
      <c r="B13" s="2" t="s">
        <v>917</v>
      </c>
      <c r="C13" s="2" t="s">
        <v>1046</v>
      </c>
      <c r="D13" s="37" t="s">
        <v>36</v>
      </c>
      <c r="E13" s="2" t="s">
        <v>37</v>
      </c>
    </row>
    <row r="14" spans="1:5">
      <c r="A14" s="1">
        <f t="shared" si="0"/>
        <v>8</v>
      </c>
      <c r="B14" s="2" t="s">
        <v>483</v>
      </c>
      <c r="C14" s="2" t="s">
        <v>215</v>
      </c>
      <c r="D14" s="2" t="s">
        <v>215</v>
      </c>
      <c r="E14" s="2" t="s">
        <v>213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3"/>
  <dimension ref="A1:L16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D19" sqref="D19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1047</v>
      </c>
      <c r="D3" s="8" t="s">
        <v>474</v>
      </c>
      <c r="E3" s="10" t="s">
        <v>1048</v>
      </c>
      <c r="F3" s="11"/>
      <c r="G3" s="11"/>
      <c r="H3" s="11"/>
      <c r="I3" s="11"/>
      <c r="J3" s="11"/>
      <c r="K3" s="16"/>
      <c r="L3" s="14" t="s">
        <v>475</v>
      </c>
    </row>
    <row r="4" spans="1:11">
      <c r="A4" s="8" t="s">
        <v>476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9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K7" s="3" t="s">
        <v>819</v>
      </c>
    </row>
    <row r="8" spans="1:5">
      <c r="A8" s="1">
        <f t="shared" si="0"/>
        <v>2</v>
      </c>
      <c r="B8" s="2" t="s">
        <v>1008</v>
      </c>
      <c r="C8" s="2" t="s">
        <v>129</v>
      </c>
      <c r="D8" s="2" t="s">
        <v>129</v>
      </c>
      <c r="E8" s="2" t="s">
        <v>6</v>
      </c>
    </row>
    <row r="9" spans="1:5">
      <c r="A9" s="1">
        <f t="shared" si="0"/>
        <v>3</v>
      </c>
      <c r="B9" s="2" t="s">
        <v>1015</v>
      </c>
      <c r="C9" s="2" t="s">
        <v>43</v>
      </c>
      <c r="D9" s="2" t="s">
        <v>3</v>
      </c>
      <c r="E9" s="2" t="s">
        <v>4</v>
      </c>
    </row>
    <row r="10" spans="1:5">
      <c r="A10" s="1">
        <f t="shared" ref="A10:A16" si="1">ROW()-6</f>
        <v>4</v>
      </c>
      <c r="B10" s="2" t="s">
        <v>299</v>
      </c>
      <c r="C10" s="2" t="s">
        <v>938</v>
      </c>
      <c r="D10" s="37" t="s">
        <v>36</v>
      </c>
      <c r="E10" s="2" t="s">
        <v>37</v>
      </c>
    </row>
    <row r="11" spans="1:5">
      <c r="A11" s="1">
        <f t="shared" si="1"/>
        <v>5</v>
      </c>
      <c r="B11" s="2" t="s">
        <v>1049</v>
      </c>
      <c r="C11" s="2" t="s">
        <v>1050</v>
      </c>
      <c r="D11" s="2" t="s">
        <v>14</v>
      </c>
      <c r="E11" s="2" t="s">
        <v>14</v>
      </c>
    </row>
    <row r="12" spans="1:11">
      <c r="A12" s="1">
        <f t="shared" si="1"/>
        <v>6</v>
      </c>
      <c r="B12" s="2" t="s">
        <v>1051</v>
      </c>
      <c r="C12" s="2" t="s">
        <v>113</v>
      </c>
      <c r="D12" s="37" t="s">
        <v>36</v>
      </c>
      <c r="E12" s="2" t="s">
        <v>37</v>
      </c>
      <c r="K12" s="3" t="s">
        <v>1052</v>
      </c>
    </row>
    <row r="13" spans="1:5">
      <c r="A13" s="1">
        <f t="shared" si="1"/>
        <v>7</v>
      </c>
      <c r="B13" s="2" t="s">
        <v>183</v>
      </c>
      <c r="C13" s="2" t="s">
        <v>943</v>
      </c>
      <c r="D13" s="2" t="s">
        <v>187</v>
      </c>
      <c r="E13" s="2" t="s">
        <v>99</v>
      </c>
    </row>
    <row r="14" spans="1:5">
      <c r="A14" s="1">
        <f t="shared" si="1"/>
        <v>8</v>
      </c>
      <c r="B14" s="2" t="s">
        <v>1053</v>
      </c>
      <c r="C14" s="2" t="s">
        <v>225</v>
      </c>
      <c r="D14" s="2" t="s">
        <v>225</v>
      </c>
      <c r="E14" s="2" t="s">
        <v>6</v>
      </c>
    </row>
    <row r="15" spans="1:5">
      <c r="A15" s="1">
        <f t="shared" si="1"/>
        <v>9</v>
      </c>
      <c r="B15" s="2" t="s">
        <v>416</v>
      </c>
      <c r="C15" s="2" t="s">
        <v>970</v>
      </c>
      <c r="D15" s="37" t="s">
        <v>36</v>
      </c>
      <c r="E15" s="2" t="s">
        <v>37</v>
      </c>
    </row>
    <row r="16" spans="1:5">
      <c r="A16" s="1">
        <f t="shared" si="1"/>
        <v>10</v>
      </c>
      <c r="B16" s="2" t="s">
        <v>181</v>
      </c>
      <c r="C16" s="2" t="s">
        <v>180</v>
      </c>
      <c r="D16" s="2" t="s">
        <v>180</v>
      </c>
      <c r="E16" s="2" t="s">
        <v>6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7"/>
  <dimension ref="A1:L14"/>
  <sheetViews>
    <sheetView view="pageBreakPreview" zoomScale="115" zoomScaleNormal="100" zoomScaleSheetLayoutView="115" workbookViewId="0">
      <pane ySplit="6" topLeftCell="A7" activePane="bottomLeft" state="frozen"/>
      <selection/>
      <selection pane="bottomLeft" activeCell="L3" sqref="L3"/>
    </sheetView>
  </sheetViews>
  <sheetFormatPr defaultColWidth="9" defaultRowHeight="11.25"/>
  <cols>
    <col min="1" max="1" width="3.5" style="1" customWidth="1"/>
    <col min="2" max="2" width="16.875" style="2" customWidth="1"/>
    <col min="3" max="3" width="25.375" style="2" customWidth="1"/>
    <col min="4" max="4" width="16.125" style="2" customWidth="1"/>
    <col min="5" max="5" width="12.25" style="2" customWidth="1"/>
    <col min="6" max="6" width="3" style="1" customWidth="1"/>
    <col min="7" max="7" width="6" style="1" customWidth="1"/>
    <col min="8" max="8" width="3" style="1" customWidth="1"/>
    <col min="9" max="9" width="5.25" style="1" customWidth="1"/>
    <col min="10" max="10" width="9" style="2"/>
    <col min="11" max="11" width="35.5" style="3" customWidth="1"/>
    <col min="12" max="12" width="10.5" style="1" customWidth="1"/>
    <col min="13" max="16384" width="9" style="2"/>
  </cols>
  <sheetData>
    <row r="1" ht="21.75" customHeight="1" spans="1:12">
      <c r="A1" s="4" t="s">
        <v>470</v>
      </c>
      <c r="B1" s="4"/>
      <c r="C1" s="5" t="s">
        <v>806</v>
      </c>
      <c r="D1" s="5"/>
      <c r="E1" s="5"/>
      <c r="F1" s="5"/>
      <c r="G1" s="5"/>
      <c r="H1" s="5"/>
      <c r="I1" s="5"/>
      <c r="J1" s="5"/>
      <c r="K1" s="5"/>
      <c r="L1" s="14" t="s">
        <v>472</v>
      </c>
    </row>
    <row r="2" spans="1:11">
      <c r="A2" s="6"/>
      <c r="B2" s="7"/>
      <c r="C2" s="7"/>
      <c r="D2" s="7"/>
      <c r="E2" s="7"/>
      <c r="F2" s="6"/>
      <c r="G2" s="6"/>
      <c r="H2" s="6"/>
      <c r="I2" s="6"/>
      <c r="J2" s="7"/>
      <c r="K2" s="15"/>
    </row>
    <row r="3" spans="1:12">
      <c r="A3" s="8" t="s">
        <v>473</v>
      </c>
      <c r="B3" s="8"/>
      <c r="C3" s="9" t="s">
        <v>773</v>
      </c>
      <c r="D3" s="8" t="s">
        <v>474</v>
      </c>
      <c r="E3" s="10" t="s">
        <v>1054</v>
      </c>
      <c r="F3" s="11"/>
      <c r="G3" s="11"/>
      <c r="H3" s="11"/>
      <c r="I3" s="11"/>
      <c r="J3" s="11"/>
      <c r="K3" s="16"/>
      <c r="L3" s="14" t="s">
        <v>475</v>
      </c>
    </row>
    <row r="4" spans="1:11">
      <c r="A4" s="8" t="s">
        <v>476</v>
      </c>
      <c r="B4" s="8"/>
      <c r="C4" s="12"/>
      <c r="D4" s="12"/>
      <c r="E4" s="12"/>
      <c r="F4" s="12"/>
      <c r="G4" s="12"/>
      <c r="H4" s="12"/>
      <c r="I4" s="12"/>
      <c r="J4" s="12"/>
      <c r="K4" s="12"/>
    </row>
    <row r="5" spans="1:12">
      <c r="A5" s="8" t="s">
        <v>477</v>
      </c>
      <c r="B5" s="8"/>
      <c r="C5" s="13"/>
      <c r="D5" s="12"/>
      <c r="E5" s="12"/>
      <c r="F5" s="12"/>
      <c r="G5" s="12"/>
      <c r="H5" s="12"/>
      <c r="I5" s="12"/>
      <c r="J5" s="12"/>
      <c r="K5" s="12"/>
      <c r="L5" s="14" t="s">
        <v>478</v>
      </c>
    </row>
    <row r="6" s="1" customFormat="1" spans="1:11">
      <c r="A6" s="8" t="s">
        <v>243</v>
      </c>
      <c r="B6" s="8" t="s">
        <v>479</v>
      </c>
      <c r="C6" s="8" t="s">
        <v>480</v>
      </c>
      <c r="D6" s="8" t="s">
        <v>481</v>
      </c>
      <c r="E6" s="8" t="s">
        <v>1</v>
      </c>
      <c r="F6" s="8" t="s">
        <v>482</v>
      </c>
      <c r="G6" s="8" t="s">
        <v>483</v>
      </c>
      <c r="H6" s="8" t="s">
        <v>484</v>
      </c>
      <c r="I6" s="8" t="s">
        <v>485</v>
      </c>
      <c r="J6" s="8" t="s">
        <v>486</v>
      </c>
      <c r="K6" s="17" t="s">
        <v>2</v>
      </c>
    </row>
    <row r="7" spans="1:11">
      <c r="A7" s="1">
        <f t="shared" ref="A7:A14" si="0">ROW()-6</f>
        <v>1</v>
      </c>
      <c r="B7" s="2" t="s">
        <v>808</v>
      </c>
      <c r="C7" s="2" t="s">
        <v>3</v>
      </c>
      <c r="D7" s="2" t="s">
        <v>3</v>
      </c>
      <c r="E7" s="2" t="s">
        <v>4</v>
      </c>
      <c r="F7" s="1" t="s">
        <v>488</v>
      </c>
      <c r="H7" s="1">
        <v>1</v>
      </c>
      <c r="K7" s="3" t="s">
        <v>819</v>
      </c>
    </row>
    <row r="8" spans="1:5">
      <c r="A8" s="1">
        <f t="shared" si="0"/>
        <v>2</v>
      </c>
      <c r="B8" s="2" t="s">
        <v>1008</v>
      </c>
      <c r="C8" s="2" t="s">
        <v>129</v>
      </c>
      <c r="D8" s="2" t="s">
        <v>129</v>
      </c>
      <c r="E8" s="2" t="s">
        <v>6</v>
      </c>
    </row>
    <row r="9" spans="1:5">
      <c r="A9" s="1">
        <f t="shared" si="0"/>
        <v>3</v>
      </c>
      <c r="B9" s="2" t="s">
        <v>1055</v>
      </c>
      <c r="C9" s="2" t="s">
        <v>938</v>
      </c>
      <c r="D9" s="37" t="s">
        <v>36</v>
      </c>
      <c r="E9" s="2" t="s">
        <v>37</v>
      </c>
    </row>
    <row r="10" spans="1:5">
      <c r="A10" s="1">
        <f t="shared" si="0"/>
        <v>4</v>
      </c>
      <c r="B10" s="2" t="s">
        <v>936</v>
      </c>
      <c r="C10" s="2" t="s">
        <v>973</v>
      </c>
      <c r="D10" s="2" t="s">
        <v>14</v>
      </c>
      <c r="E10" s="2" t="s">
        <v>14</v>
      </c>
    </row>
    <row r="11" spans="1:5">
      <c r="A11" s="1">
        <f t="shared" si="0"/>
        <v>5</v>
      </c>
      <c r="B11" s="2" t="s">
        <v>132</v>
      </c>
      <c r="C11" s="2" t="s">
        <v>1056</v>
      </c>
      <c r="D11" s="2" t="s">
        <v>115</v>
      </c>
      <c r="E11" s="2" t="s">
        <v>99</v>
      </c>
    </row>
    <row r="12" spans="1:5">
      <c r="A12" s="1">
        <f t="shared" si="0"/>
        <v>6</v>
      </c>
      <c r="B12" s="2" t="s">
        <v>1057</v>
      </c>
      <c r="C12" s="2" t="s">
        <v>1058</v>
      </c>
      <c r="D12" s="2" t="s">
        <v>115</v>
      </c>
      <c r="E12" s="2" t="s">
        <v>99</v>
      </c>
    </row>
    <row r="13" spans="1:5">
      <c r="A13" s="1">
        <f t="shared" si="0"/>
        <v>7</v>
      </c>
      <c r="B13" s="2" t="s">
        <v>1059</v>
      </c>
      <c r="C13" s="2" t="s">
        <v>1060</v>
      </c>
      <c r="D13" s="37" t="s">
        <v>36</v>
      </c>
      <c r="E13" s="2" t="s">
        <v>37</v>
      </c>
    </row>
    <row r="14" spans="1:5">
      <c r="A14" s="1">
        <f t="shared" si="0"/>
        <v>8</v>
      </c>
      <c r="B14" s="2" t="s">
        <v>1061</v>
      </c>
      <c r="C14" s="2" t="s">
        <v>180</v>
      </c>
      <c r="D14" s="2" t="s">
        <v>180</v>
      </c>
      <c r="E14" s="2" t="s">
        <v>6</v>
      </c>
    </row>
  </sheetData>
  <mergeCells count="8">
    <mergeCell ref="A1:B1"/>
    <mergeCell ref="C1:K1"/>
    <mergeCell ref="A3:B3"/>
    <mergeCell ref="E3:K3"/>
    <mergeCell ref="A4:B4"/>
    <mergeCell ref="C4:K4"/>
    <mergeCell ref="A5:B5"/>
    <mergeCell ref="C5:K5"/>
  </mergeCells>
  <hyperlinks>
    <hyperlink ref="L5" location="目录!A1" display="返回目录"/>
    <hyperlink ref="L3" location="常量!F1" display="查看常量定义"/>
    <hyperlink ref="L1" location="字段属性!A1" display="查看字段属性"/>
  </hyperlinks>
  <pageMargins left="0.699305555555556" right="0.699305555555556" top="0.75" bottom="0.75" header="0.3" footer="0.3"/>
  <pageSetup paperSize="9" scale="98" orientation="landscape"/>
  <headerFooter/>
  <colBreaks count="1" manualBreakCount="1">
    <brk id="11" max="1048575" man="1"/>
  </col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字段属性</vt:lpstr>
      <vt:lpstr>常量</vt:lpstr>
      <vt:lpstr>建表模板</vt:lpstr>
      <vt:lpstr>部门</vt:lpstr>
      <vt:lpstr>科室</vt:lpstr>
      <vt:lpstr>系别</vt:lpstr>
      <vt:lpstr>员工</vt:lpstr>
      <vt:lpstr>账号</vt:lpstr>
      <vt:lpstr>车型系列（废）</vt:lpstr>
      <vt:lpstr>WARP发起部品废止信息（废）</vt:lpstr>
      <vt:lpstr>WARP已同步部品本地废止信息表（废）</vt:lpstr>
      <vt:lpstr>自支给变更（废）</vt:lpstr>
      <vt:lpstr>自支给变更合意详情表（废）</vt:lpstr>
      <vt:lpstr>生准LT（废）</vt:lpstr>
      <vt:lpstr>目录</vt:lpstr>
      <vt:lpstr>角色表</vt:lpstr>
      <vt:lpstr>建表模板 (3)</vt:lpstr>
      <vt:lpstr>权限表</vt:lpstr>
      <vt:lpstr>角色权限表</vt:lpstr>
      <vt:lpstr>管理员角色表</vt:lpstr>
      <vt:lpstr>管理员信息表</vt:lpstr>
      <vt:lpstr>菜单表</vt:lpstr>
      <vt:lpstr>建表模板 (4)</vt:lpstr>
      <vt:lpstr>车位锁信息表</vt:lpstr>
      <vt:lpstr>车位锁数据上报日志</vt:lpstr>
      <vt:lpstr>地磁信息表</vt:lpstr>
      <vt:lpstr>地磁数据上报日志表</vt:lpstr>
      <vt:lpstr>网关信息表</vt:lpstr>
      <vt:lpstr>停车场信息表</vt:lpstr>
      <vt:lpstr>停车场区域表</vt:lpstr>
      <vt:lpstr>停车场室内地图信息表</vt:lpstr>
      <vt:lpstr>车位信息表</vt:lpstr>
      <vt:lpstr>车位管理员关联表</vt:lpstr>
      <vt:lpstr>车位锁日志记录表</vt:lpstr>
      <vt:lpstr>固定车辆信息表</vt:lpstr>
      <vt:lpstr>固定车辆缴费记录表</vt:lpstr>
      <vt:lpstr>收费规则表</vt:lpstr>
      <vt:lpstr>停车场收费规则表</vt:lpstr>
      <vt:lpstr>包期规则表</vt:lpstr>
      <vt:lpstr>建表模板 (5)</vt:lpstr>
      <vt:lpstr>充值活动信息表</vt:lpstr>
      <vt:lpstr>充值记录表</vt:lpstr>
      <vt:lpstr>发票记录表</vt:lpstr>
      <vt:lpstr>开票规则表</vt:lpstr>
      <vt:lpstr>布控车辆信息表</vt:lpstr>
      <vt:lpstr>用户表</vt:lpstr>
      <vt:lpstr>本地登录表</vt:lpstr>
      <vt:lpstr>用户微信表</vt:lpstr>
      <vt:lpstr>用户车辆列表</vt:lpstr>
      <vt:lpstr>预约记录表</vt:lpstr>
      <vt:lpstr>场内车辆记录表</vt:lpstr>
      <vt:lpstr>过车记录表</vt:lpstr>
      <vt:lpstr>订单信息表</vt:lpstr>
      <vt:lpstr>用户消息记录表</vt:lpstr>
      <vt:lpstr>推送消息记录表</vt:lpstr>
      <vt:lpstr>警告消息记录表</vt:lpstr>
      <vt:lpstr>反馈记录表</vt:lpstr>
      <vt:lpstr>操作日志表</vt:lpstr>
      <vt:lpstr>系统参数配置表 </vt:lpstr>
      <vt:lpstr>支付记录</vt:lpstr>
      <vt:lpstr>充值记录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song</dc:creator>
  <cp:lastModifiedBy>Administrator</cp:lastModifiedBy>
  <dcterms:created xsi:type="dcterms:W3CDTF">2015-10-14T08:53:00Z</dcterms:created>
  <cp:lastPrinted>2015-10-14T09:19:00Z</cp:lastPrinted>
  <dcterms:modified xsi:type="dcterms:W3CDTF">2017-05-09T03:12:04Z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2052-10.1.0.6391</vt:lpwstr>
  </property>
</Properties>
</file>

<file path=userCustomization/customUI.xml>�� �e�^ �S_MRh�	� �S_MRh�	� ��S�S_MRh�	� �S_MRh�	� �S_MRh�	� �hQh�	� �hQh�	� ��S�hQh�	� �hQh�	� �hQh�	� R�^  & &  �h�g8^ϑ��^ 8^ϑS 8^ϑ 8^ϑ �g�S ԏ�V�g>N�eW[�QpeS 8^ϑ�Qpe 8^ϑ<PN�QpeS ub�vU_ 
</file>